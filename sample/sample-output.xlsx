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4869c3fb19ae3cb/ii/00_development/python/ii-excel-diff/GitHub/v109/sample/"/>
    </mc:Choice>
  </mc:AlternateContent>
  <xr:revisionPtr revIDLastSave="8" documentId="11_2377EBDB181805C86E35F95C48DBD78805D24C4D" xr6:coauthVersionLast="47" xr6:coauthVersionMax="47" xr10:uidLastSave="{E3FA3E6F-28B6-4EA0-8082-776A5C995AF9}"/>
  <bookViews>
    <workbookView xWindow="-120" yWindow="-120" windowWidth="29040" windowHeight="15720" xr2:uid="{00000000-000D-0000-FFFF-FFFF00000000}"/>
  </bookViews>
  <sheets>
    <sheet name="ii-excel-diff" sheetId="1" r:id="rId1"/>
    <sheet name="ii-path-maker" sheetId="2" r:id="rId2"/>
    <sheet name="ごみ settings" sheetId="3" r:id="rId3"/>
    <sheet name="&gt;&gt;&gt; ORG SHEET &gt;&gt;&gt;" sheetId="4" r:id="rId4"/>
    <sheet name="L_ii-path-maker" sheetId="5" r:id="rId5"/>
    <sheet name="R_ii-path-maker" sheetId="6" r:id="rId6"/>
    <sheet name="L_ごみ settings" sheetId="7" r:id="rId7"/>
    <sheet name="R_ごみ setting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2" i="3" l="1"/>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J23" i="1"/>
  <c r="I23" i="1"/>
  <c r="G23" i="1"/>
  <c r="F23" i="1" s="1"/>
  <c r="J22" i="1"/>
  <c r="I22" i="1"/>
  <c r="G22" i="1"/>
  <c r="F22" i="1" s="1"/>
</calcChain>
</file>

<file path=xl/sharedStrings.xml><?xml version="1.0" encoding="utf-8"?>
<sst xmlns="http://schemas.openxmlformats.org/spreadsheetml/2006/main" count="2068" uniqueCount="583">
  <si>
    <t>エクセルファイルの比較・差分結果報告書</t>
  </si>
  <si>
    <t>check1</t>
  </si>
  <si>
    <t>check2</t>
  </si>
  <si>
    <t>review</t>
  </si>
  <si>
    <t>以下のエクセルファイルを比較・確認したので、差分結果について報告します</t>
  </si>
  <si>
    <t>報告の要約を以下に列挙します</t>
  </si>
  <si>
    <t>本書の活用手順</t>
  </si>
  <si>
    <t>1. 差分を確認する：詳細シートで、Ｆ列に "x" のある行の ＤＥＧ列 に必要事項を記入する</t>
  </si>
  <si>
    <t>2. 差分を確認する：本シート（下表）で ＩＪ列 が OK になることを確認する （NG の場合、↑ の対応漏れです）</t>
  </si>
  <si>
    <t>3. 報告をまとめる：「何と何（前提：ファイルの素性）」 を 「なんのため（目的）」 に比較したのか 「ゴールの状態は何か（目標）」 を、この手順を記載した領域に記載する</t>
  </si>
  <si>
    <t>4. 報告をまとめる：詳細シートを確認した結果の要約やポイント、報告すべきことを、この手順を記載した領域に列挙する</t>
  </si>
  <si>
    <t>シート毎のツールによる比較結果、および その結果の目視確認結果を下表に記します</t>
  </si>
  <si>
    <t>シート名</t>
  </si>
  <si>
    <t>L</t>
  </si>
  <si>
    <t>R</t>
  </si>
  <si>
    <t>差分</t>
  </si>
  <si>
    <t>差分行数</t>
  </si>
  <si>
    <t>備考</t>
  </si>
  <si>
    <t>ii-path-maker</t>
  </si>
  <si>
    <t>あり</t>
  </si>
  <si>
    <t>ごみ settings</t>
  </si>
  <si>
    <t>詳細は各シートを参照ください</t>
  </si>
  <si>
    <t>＜補足・注意事項＞</t>
  </si>
  <si>
    <t>　・本シート（上表）の Ｇ列 で示す数値は、詳細シートの Ｆ列 が "x" の行数を入れています</t>
  </si>
  <si>
    <t>　・本シート（上表）の ＩＪ列 で示す値 (OK/NG) は、詳細シートの差分のあるすべての行の ＤＥ列 に値が入っていたら OK を入れ、</t>
  </si>
  <si>
    <t>　　そうでなければ NG を入れています</t>
  </si>
  <si>
    <t>　・詳細シートの Ｎ列 以降に、３つの領域に分けて、左からファイル（L）のシートの内容、ファイル（R）のシートの内容、</t>
  </si>
  <si>
    <t>　　ファイル（L）/（R）の差分を１つにまとめたシートの内容を入れています</t>
  </si>
  <si>
    <t>　・詳細シートで差分のある行は、Ｆ列 に "x" を入れ、該当する差分のあるセルは薄紫塗にしています</t>
  </si>
  <si>
    <t>　・比較に使用したオリジナルのシートを " &gt;&gt;&gt; ORG SHEET &gt;&gt;&gt; " 以降にコピーしています</t>
  </si>
  <si>
    <t>　・コピーした際のシート名の接頭語には、左に配置したエクセルは "L_" 、右に配置したエクセルは "R_" をつけています</t>
  </si>
  <si>
    <t>　・計算式の入ったセルは、セルの値をコピー・比較します</t>
  </si>
  <si>
    <t>　・オブジェクト、メモ、コメント、セル結合、行・列の幅などは非対応です</t>
  </si>
  <si>
    <t>Created by ii-excel-diff v.1.09 on 2026/03/14 16:45:57. It took 0:00:9.65 second. threshold=0.7.</t>
  </si>
  <si>
    <t>#</t>
  </si>
  <si>
    <t>結合文字(L)</t>
  </si>
  <si>
    <t>結合文字(R)</t>
  </si>
  <si>
    <t>差分有無</t>
  </si>
  <si>
    <t>差分理由</t>
  </si>
  <si>
    <t>label1</t>
  </si>
  <si>
    <t>label2</t>
  </si>
  <si>
    <t>label3</t>
  </si>
  <si>
    <t>label4</t>
  </si>
  <si>
    <t>label5</t>
  </si>
  <si>
    <t>label6</t>
  </si>
  <si>
    <t>label7</t>
  </si>
  <si>
    <t>label8</t>
  </si>
  <si>
    <t>label9</t>
  </si>
  <si>
    <t>label10</t>
  </si>
  <si>
    <t>label11</t>
  </si>
  <si>
    <t>label12</t>
  </si>
  <si>
    <t>label13</t>
  </si>
  <si>
    <t>label14</t>
  </si>
  <si>
    <t>label15</t>
  </si>
  <si>
    <t>label16</t>
  </si>
  <si>
    <t>label17</t>
  </si>
  <si>
    <t>label18</t>
  </si>
  <si>
    <t>label19</t>
  </si>
  <si>
    <t>label20</t>
  </si>
  <si>
    <t>label21</t>
  </si>
  <si>
    <t>label22</t>
  </si>
  <si>
    <t>label23</t>
  </si>
  <si>
    <t>label24</t>
  </si>
  <si>
    <t>label25</t>
  </si>
  <si>
    <t>label26</t>
  </si>
  <si>
    <t>label27</t>
  </si>
  <si>
    <t>label28</t>
  </si>
  <si>
    <t>label29</t>
  </si>
  <si>
    <t>label30</t>
  </si>
  <si>
    <t>label31</t>
  </si>
  <si>
    <t>label32</t>
  </si>
  <si>
    <t>label33</t>
  </si>
  <si>
    <t>label34</t>
  </si>
  <si>
    <t>label35</t>
  </si>
  <si>
    <t>label36</t>
  </si>
  <si>
    <t>label37</t>
  </si>
  <si>
    <t>label38</t>
  </si>
  <si>
    <t>label39</t>
  </si>
  <si>
    <t>label40</t>
  </si>
  <si>
    <t>label41</t>
  </si>
  <si>
    <t>label42</t>
  </si>
  <si>
    <t>label43</t>
  </si>
  <si>
    <t>label44</t>
  </si>
  <si>
    <t>label45</t>
  </si>
  <si>
    <t>label46</t>
  </si>
  <si>
    <t>label47</t>
  </si>
  <si>
    <t>label48</t>
  </si>
  <si>
    <t>label49</t>
  </si>
  <si>
    <t>label50</t>
  </si>
  <si>
    <t>label51</t>
  </si>
  <si>
    <t>label52</t>
  </si>
  <si>
    <t>label53</t>
  </si>
  <si>
    <t>label54</t>
  </si>
  <si>
    <t>label55</t>
  </si>
  <si>
    <t>label56</t>
  </si>
  <si>
    <t>label57</t>
  </si>
  <si>
    <t>label58</t>
  </si>
  <si>
    <t>label59</t>
  </si>
  <si>
    <t>label60</t>
  </si>
  <si>
    <t>label61</t>
  </si>
  <si>
    <t>label62</t>
  </si>
  <si>
    <t>label63</t>
  </si>
  <si>
    <t>label64</t>
  </si>
  <si>
    <t>label65</t>
  </si>
  <si>
    <t>label66</t>
  </si>
  <si>
    <t>label67</t>
  </si>
  <si>
    <t>label68</t>
  </si>
  <si>
    <t>label69</t>
  </si>
  <si>
    <t>label70</t>
  </si>
  <si>
    <t>label71</t>
  </si>
  <si>
    <t>label72</t>
  </si>
  <si>
    <t>label73</t>
  </si>
  <si>
    <t>label74</t>
  </si>
  <si>
    <t>label75</t>
  </si>
  <si>
    <t>label76</t>
  </si>
  <si>
    <t>label77</t>
  </si>
  <si>
    <t>label78</t>
  </si>
  <si>
    <t>label79</t>
  </si>
  <si>
    <t>label80</t>
  </si>
  <si>
    <t>label81</t>
  </si>
  <si>
    <t>label82</t>
  </si>
  <si>
    <t>label83</t>
  </si>
  <si>
    <t>label84</t>
  </si>
  <si>
    <t>label85</t>
  </si>
  <si>
    <t>label86</t>
  </si>
  <si>
    <t>label87</t>
  </si>
  <si>
    <t>label88</t>
  </si>
  <si>
    <t>label89</t>
  </si>
  <si>
    <t>label90</t>
  </si>
  <si>
    <t>label91</t>
  </si>
  <si>
    <t>label92</t>
  </si>
  <si>
    <t>label93</t>
  </si>
  <si>
    <t>label94</t>
  </si>
  <si>
    <t>label95</t>
  </si>
  <si>
    <t>label96</t>
  </si>
  <si>
    <t>label97</t>
  </si>
  <si>
    <t>label98</t>
  </si>
  <si>
    <t>label99</t>
  </si>
  <si>
    <t>label100</t>
  </si>
  <si>
    <t>label101</t>
  </si>
  <si>
    <t>label102</t>
  </si>
  <si>
    <t>label103</t>
  </si>
  <si>
    <t>label104</t>
  </si>
  <si>
    <t>label105</t>
  </si>
  <si>
    <t>label106</t>
  </si>
  <si>
    <t>label107</t>
  </si>
  <si>
    <t>label108</t>
  </si>
  <si>
    <t>label109</t>
  </si>
  <si>
    <t>label110</t>
  </si>
  <si>
    <t>label111</t>
  </si>
  <si>
    <t>label112</t>
  </si>
  <si>
    <t>label113</t>
  </si>
  <si>
    <t>label114</t>
  </si>
  <si>
    <t>label115</t>
  </si>
  <si>
    <t>label116</t>
  </si>
  <si>
    <t>label117</t>
  </si>
  <si>
    <t>label118</t>
  </si>
  <si>
    <t>label119</t>
  </si>
  <si>
    <t>label120</t>
  </si>
  <si>
    <t>label121</t>
  </si>
  <si>
    <t>label122</t>
  </si>
  <si>
    <t>label123</t>
  </si>
  <si>
    <t>label124</t>
  </si>
  <si>
    <t>label125</t>
  </si>
  <si>
    <t>label126</t>
  </si>
  <si>
    <t>label127</t>
  </si>
  <si>
    <t>label128</t>
  </si>
  <si>
    <t>label129</t>
  </si>
  <si>
    <t>label130</t>
  </si>
  <si>
    <t>label131</t>
  </si>
  <si>
    <t>label132</t>
  </si>
  <si>
    <t>label133</t>
  </si>
  <si>
    <t>label134</t>
  </si>
  <si>
    <t>label135</t>
  </si>
  <si>
    <t>label136</t>
  </si>
  <si>
    <t>label137</t>
  </si>
  <si>
    <t>label138</t>
  </si>
  <si>
    <t>label139</t>
  </si>
  <si>
    <t>label140</t>
  </si>
  <si>
    <t>label141</t>
  </si>
  <si>
    <t>label142</t>
  </si>
  <si>
    <t>label143</t>
  </si>
  <si>
    <t>label144</t>
  </si>
  <si>
    <t>label145</t>
  </si>
  <si>
    <t>label146</t>
  </si>
  <si>
    <t>label147</t>
  </si>
  <si>
    <t>label148</t>
  </si>
  <si>
    <t>label149</t>
  </si>
  <si>
    <t>label150</t>
  </si>
  <si>
    <t>label151</t>
  </si>
  <si>
    <t>label152</t>
  </si>
  <si>
    <t>label153</t>
  </si>
  <si>
    <t>label154</t>
  </si>
  <si>
    <t>label155</t>
  </si>
  <si>
    <t>label156</t>
  </si>
  <si>
    <t>label157</t>
  </si>
  <si>
    <t>label158</t>
  </si>
  <si>
    <t>label159</t>
  </si>
  <si>
    <t>label160</t>
  </si>
  <si>
    <t>label161</t>
  </si>
  <si>
    <t>label162</t>
  </si>
  <si>
    <t>label163</t>
  </si>
  <si>
    <t>label164</t>
  </si>
  <si>
    <t>label165</t>
  </si>
  <si>
    <t>label166</t>
  </si>
  <si>
    <t>label167</t>
  </si>
  <si>
    <t>label168</t>
  </si>
  <si>
    <t>label169</t>
  </si>
  <si>
    <t>label170</t>
  </si>
  <si>
    <t>label171</t>
  </si>
  <si>
    <t>label172</t>
  </si>
  <si>
    <t>label173</t>
  </si>
  <si>
    <t>label174</t>
  </si>
  <si>
    <t>label175</t>
  </si>
  <si>
    <t>label176</t>
  </si>
  <si>
    <t>label177</t>
  </si>
  <si>
    <t>label178</t>
  </si>
  <si>
    <t>label179</t>
  </si>
  <si>
    <t>label180</t>
  </si>
  <si>
    <t>label181</t>
  </si>
  <si>
    <t>label182</t>
  </si>
  <si>
    <t>label183</t>
  </si>
  <si>
    <t>label184</t>
  </si>
  <si>
    <t>label185</t>
  </si>
  <si>
    <t>label186</t>
  </si>
  <si>
    <t>label187</t>
  </si>
  <si>
    <t>label188</t>
  </si>
  <si>
    <t>label189</t>
  </si>
  <si>
    <t>label190</t>
  </si>
  <si>
    <t>label191</t>
  </si>
  <si>
    <t>label192</t>
  </si>
  <si>
    <t>label193</t>
  </si>
  <si>
    <t>label194</t>
  </si>
  <si>
    <t>label195</t>
  </si>
  <si>
    <t>label196</t>
  </si>
  <si>
    <t>label197</t>
  </si>
  <si>
    <t>label198</t>
  </si>
  <si>
    <t>label199</t>
  </si>
  <si>
    <t>label200</t>
  </si>
  <si>
    <t>label201</t>
  </si>
  <si>
    <t>label202</t>
  </si>
  <si>
    <t>label203</t>
  </si>
  <si>
    <t>label204</t>
  </si>
  <si>
    <t>label205</t>
  </si>
  <si>
    <t>label206</t>
  </si>
  <si>
    <t>label207</t>
  </si>
  <si>
    <t>label208</t>
  </si>
  <si>
    <t>label209</t>
  </si>
  <si>
    <t>label210</t>
  </si>
  <si>
    <t>label211</t>
  </si>
  <si>
    <t>label212</t>
  </si>
  <si>
    <t>label213</t>
  </si>
  <si>
    <t>label214</t>
  </si>
  <si>
    <t>label215</t>
  </si>
  <si>
    <t>label216</t>
  </si>
  <si>
    <t>label217</t>
  </si>
  <si>
    <t>label218</t>
  </si>
  <si>
    <t>label219</t>
  </si>
  <si>
    <t>label220</t>
  </si>
  <si>
    <t>label221</t>
  </si>
  <si>
    <t>label222</t>
  </si>
  <si>
    <t>label223</t>
  </si>
  <si>
    <t>label224</t>
  </si>
  <si>
    <t>label225</t>
  </si>
  <si>
    <t>label226</t>
  </si>
  <si>
    <t>label227</t>
  </si>
  <si>
    <t>label228</t>
  </si>
  <si>
    <t>label229</t>
  </si>
  <si>
    <t xml:space="preserve">ii-path-maker 操作説明書                                                                      </t>
  </si>
  <si>
    <t>1.00</t>
  </si>
  <si>
    <t>ii-path-maker 操作説明書</t>
  </si>
  <si>
    <t/>
  </si>
  <si>
    <t xml:space="preserve"> ■ 使い方                                                  ■ どういう使い方を想定しているか                  </t>
  </si>
  <si>
    <t>■ 使い方</t>
  </si>
  <si>
    <t>■ どういう使い方を想定しているか</t>
  </si>
  <si>
    <t xml:space="preserve">  設定ファイルを作成して、以下のいずれかのパターンで ii-path-maker に食わせます                                例： とある svn のファイル構成                 左記のような ファイル構成のとき、                 </t>
  </si>
  <si>
    <t>設定ファイルを作成して、以下のいずれかのパターンで ii-path-maker に食わせます</t>
  </si>
  <si>
    <t>例： とある svn のファイル構成</t>
  </si>
  <si>
    <t>左記のような ファイル構成のとき、</t>
  </si>
  <si>
    <t xml:space="preserve">                                    c:\svn                具体的には                 </t>
  </si>
  <si>
    <t>c:\svn</t>
  </si>
  <si>
    <t>具体的には</t>
  </si>
  <si>
    <t xml:space="preserve">  &lt;パターン Drag&amp;Drop&gt;              &lt;パターン 送る&gt;                  +- repos                 ・Aプロジェクトには派生プロジェクト(40)がある                </t>
  </si>
  <si>
    <t xml:space="preserve">  &lt;パターン Drag&amp;Drop&gt;              &lt;パターン 送る&gt;                  +- repos                 ・Aプロジェクトには派生プロジェクト(404)がある                </t>
  </si>
  <si>
    <t>x</t>
  </si>
  <si>
    <t>&lt;パターン Drag&amp;Drop&gt;</t>
  </si>
  <si>
    <t>&lt;パターン 送る&gt;</t>
  </si>
  <si>
    <t>+- repos</t>
  </si>
  <si>
    <t>・Aプロジェクトには派生プロジェクト(40)がある</t>
  </si>
  <si>
    <t>・Aプロジェクトには派生プロジェクト(404)がある</t>
  </si>
  <si>
    <t>・Aプロジェクトには派生プロジェクト(40)がある
 ⇒ 
・Aプロジェクトには派生プロジェクト(404)がある</t>
  </si>
  <si>
    <t xml:space="preserve">                                    | +- branches                 ・派生プロジェクトにはスナップショットが存在する                </t>
  </si>
  <si>
    <t>| +- branches</t>
  </si>
  <si>
    <t>・派生プロジェクトにはスナップショットが存在する</t>
  </si>
  <si>
    <t xml:space="preserve">                                    | | +- A_404                 ・最新は trunk 以下に管理されている                </t>
  </si>
  <si>
    <t xml:space="preserve">                                    | | +- A_404                 　※マイルストーン毎に構成管理されており、                </t>
  </si>
  <si>
    <t>0.85</t>
  </si>
  <si>
    <t>| | +- A_404</t>
  </si>
  <si>
    <t>・最新は trunk 以下に管理されている</t>
  </si>
  <si>
    <t>　※マイルストーン毎に構成管理されており、</t>
  </si>
  <si>
    <t>・最新は trunk 以下に管理されている
 ⇒ 
　※マイルストーン毎に構成管理されており、</t>
  </si>
  <si>
    <t xml:space="preserve">                                    | | | +- design                 ・プロジェクトをまたいだ標準となる書類がある                </t>
  </si>
  <si>
    <t xml:space="preserve">                                    | | | +- design                 　　同じファイル名のファイルが複数存在する                </t>
  </si>
  <si>
    <t>0.82</t>
  </si>
  <si>
    <t>| | | +- design</t>
  </si>
  <si>
    <t>・プロジェクトをまたいだ標準となる書類がある</t>
  </si>
  <si>
    <t>　　同じファイル名のファイルが複数存在する</t>
  </si>
  <si>
    <t>・プロジェクトをまたいだ標準となる書類がある
 ⇒ 
　　同じファイル名のファイルが複数存在する</t>
  </si>
  <si>
    <t xml:space="preserve">                                    | | | +- mng                 　※trunk/prj/A 以外にも A で参照する資料がある                </t>
  </si>
  <si>
    <t xml:space="preserve">                                    | | | +- mng                 ・最新は trunk 以下に管理されている                </t>
  </si>
  <si>
    <t>0.84</t>
  </si>
  <si>
    <t>| | | +- mng</t>
  </si>
  <si>
    <t>　※trunk/prj/A 以外にも A で参照する資料がある</t>
  </si>
  <si>
    <t>　※trunk/prj/A 以外にも A で参照する資料がある
 ⇒ 
・最新は trunk 以下に管理されている</t>
  </si>
  <si>
    <t xml:space="preserve">                                    | | | | +- issue.xlsx                                  </t>
  </si>
  <si>
    <t xml:space="preserve">                                    | | | | +- issue.xlsx                 ・プロジェクトをまたいだ標準となる書類がある                </t>
  </si>
  <si>
    <t>0.89</t>
  </si>
  <si>
    <t>| | | | +- issue.xlsx</t>
  </si>
  <si>
    <t xml:space="preserve">
 ⇒ 
・プロジェクトをまたいだ標準となる書類がある</t>
  </si>
  <si>
    <t xml:space="preserve">  &lt;パターン ダブルクリック&gt;                                 | | | | +- plan.xlsx                                  </t>
  </si>
  <si>
    <t xml:space="preserve">  &lt;パターン ダブルクリック&gt;                                 | | | | +- plan.xlsx                 　※trunk/prj/A 以外にも A で参照する資料がある                </t>
  </si>
  <si>
    <t>0.86</t>
  </si>
  <si>
    <t>&lt;パターン ダブルクリック&gt;</t>
  </si>
  <si>
    <t>| | | | +- plan.xlsx</t>
  </si>
  <si>
    <t xml:space="preserve">
 ⇒ 
　※trunk/prj/A 以外にも A で参照する資料がある</t>
  </si>
  <si>
    <t xml:space="preserve">                                    | | | | +- risk.xlsx                という状態で、                 </t>
  </si>
  <si>
    <t>| | | | +- risk.xlsx</t>
  </si>
  <si>
    <t>という状態で、</t>
  </si>
  <si>
    <t xml:space="preserve">                                    | | | +- spec                Aプロジェクトの情報を参照するにしても、                 </t>
  </si>
  <si>
    <t>| | | +- spec</t>
  </si>
  <si>
    <t>Aプロジェクトの情報を参照するにしても、</t>
  </si>
  <si>
    <t xml:space="preserve">                                    | | | | +- spec_system_design.xlsx                　経験をもとにどこに何があるか探しに行く                 </t>
  </si>
  <si>
    <t>| | | | +- spec_system_design.xlsx</t>
  </si>
  <si>
    <t>　経験をもとにどこに何があるか探しに行く</t>
  </si>
  <si>
    <t xml:space="preserve">                                    | +- tags                必要がある                 </t>
  </si>
  <si>
    <t>| +- tags</t>
  </si>
  <si>
    <t>必要がある</t>
  </si>
  <si>
    <t xml:space="preserve">                                    | | +- A_404_250122_DR                                  </t>
  </si>
  <si>
    <t>| | +- A_404_250122_DR</t>
  </si>
  <si>
    <t xml:space="preserve">                                    | | | +- design                そんなお困りごとを解決するために                 </t>
  </si>
  <si>
    <t>そんなお困りごとを解決するために</t>
  </si>
  <si>
    <t xml:space="preserve">                                    | | | +- mng                ある程度ルールのある置き方がされている資料の                 </t>
  </si>
  <si>
    <t>ある程度ルールのある置き方がされている資料の</t>
  </si>
  <si>
    <t xml:space="preserve">                                    | | | | +- issue.xlsx                一覧を作成するツールを用意しました                 </t>
  </si>
  <si>
    <t>一覧を作成するツールを用意しました</t>
  </si>
  <si>
    <t xml:space="preserve"> ■ 結果の確認                                  | | | | +- plan.xlsx                                  </t>
  </si>
  <si>
    <t>■ 結果の確認</t>
  </si>
  <si>
    <t xml:space="preserve">  実行いただきますと、設定ファイルのあるディレクトリに以下のファイルが作成されます                                 | | | | +- risk.xlsx                本ツールを使って、以下を指定することで                 </t>
  </si>
  <si>
    <t>実行いただきますと、設定ファイルのあるディレクトリに以下のファイルが作成されます</t>
  </si>
  <si>
    <t>本ツールを使って、以下を指定することで</t>
  </si>
  <si>
    <t xml:space="preserve">   ・結果帳票（設定ファイルの拡張子が xlsx に変わっているファイル）                                | | | +- spec                　・資料の名称                 </t>
  </si>
  <si>
    <t>・結果帳票（設定ファイルの拡張子が xlsx に変わっているファイル）</t>
  </si>
  <si>
    <t>　・資料の名称</t>
  </si>
  <si>
    <t xml:space="preserve">   　※同名ファイルがあった場合、ii-path-maker_&lt;ファイル名&gt;_&lt;数値&gt;.xlsx を作成します                                | | | | +- spec_system_design.xlsx                　・ファイル名・フォルダ名の検索キーワード                 </t>
  </si>
  <si>
    <t>　※同名ファイルがあった場合、ii-path-maker_&lt;ファイル名&gt;_&lt;数値&gt;.xlsx を作成します</t>
  </si>
  <si>
    <t>　・ファイル名・フォルダ名の検索キーワード</t>
  </si>
  <si>
    <t xml:space="preserve">   ・実行前の設定ファイル（設定ファイル名と拡張子の間に _bk が入っているファイル）                                | | +- A_404_250222_FIX                　・だいたいここらへんにあるはず！の所在                 </t>
  </si>
  <si>
    <t>・実行前の設定ファイル（設定ファイル名と拡張子の間に _bk が入っているファイル）</t>
  </si>
  <si>
    <t>| | +- A_404_250222_FIX</t>
  </si>
  <si>
    <t>　・だいたいここらへんにあるはず！の所在</t>
  </si>
  <si>
    <t xml:space="preserve">   　※同名ファイルがあった場合、上書きします                                | | | +- design                                  </t>
  </si>
  <si>
    <t>　※同名ファイルがあった場合、上書きします</t>
  </si>
  <si>
    <t xml:space="preserve">   ・結果帳票にパスを記したファイルの現物                                | | | +- mng                プロジェクトの資料一覧を作成します                 </t>
  </si>
  <si>
    <t>・結果帳票にパスを記したファイルの現物</t>
  </si>
  <si>
    <t>プロジェクトの資料一覧を作成します</t>
  </si>
  <si>
    <t xml:space="preserve">   　※設定ファイルの settings で is_export に true を指定した場合のみ作成されます                                | | | | +- issue.xlsx                                  </t>
  </si>
  <si>
    <t>　※設定ファイルの settings で is_export に true を指定した場合のみ作成されます</t>
  </si>
  <si>
    <t xml:space="preserve">   　※同名ファイルがあった場合、ii-path-maker_&lt;ファイル名&gt;_&lt;数値&gt;.&lt;拡張子&gt; を作成します                                | | | | +- plan.xlsx                オプション指定をすると                 </t>
  </si>
  <si>
    <t>　※同名ファイルがあった場合、ii-path-maker_&lt;ファイル名&gt;_&lt;数値&gt;.&lt;拡張子&gt; を作成します</t>
  </si>
  <si>
    <t>オプション指定をすると</t>
  </si>
  <si>
    <t xml:space="preserve">                                    | | | | +- risk.xlsx                資料を全て コピーして持ってきます                 </t>
  </si>
  <si>
    <t>資料を全て コピーして持ってきます</t>
  </si>
  <si>
    <t xml:space="preserve">  結果帳票は以下のようなものが出力されますので、出力後は自由にご活用くださいませ                                 | | | +- spec                                  </t>
  </si>
  <si>
    <t>結果帳票は以下のようなものが出力されますので、出力後は自由にご活用くださいませ</t>
  </si>
  <si>
    <t xml:space="preserve">                                    | | | | +- spec_system_design.xlsx                ぜひ、ご活用くださいませ                 </t>
  </si>
  <si>
    <t>ぜひ、ご活用くださいませ</t>
  </si>
  <si>
    <t xml:space="preserve">                                    | +- trunk                                  </t>
  </si>
  <si>
    <t>| +- trunk</t>
  </si>
  <si>
    <t xml:space="preserve">                                    | | +- prj                                  </t>
  </si>
  <si>
    <t>| | +- prj</t>
  </si>
  <si>
    <t xml:space="preserve">                                    | | | +- A                                  </t>
  </si>
  <si>
    <t>| | | +- A</t>
  </si>
  <si>
    <t xml:space="preserve">                                    | | | | +- design                                  </t>
  </si>
  <si>
    <t>| | | | +- design</t>
  </si>
  <si>
    <t xml:space="preserve">                                    | | | | +- mng                                  </t>
  </si>
  <si>
    <t>| | | | +- mng</t>
  </si>
  <si>
    <t xml:space="preserve">                                    | | | | | +- issue.xlsx                                  </t>
  </si>
  <si>
    <t>| | | | | +- issue.xlsx</t>
  </si>
  <si>
    <t xml:space="preserve">                                    | | | | | +- plan.xlsx                                  </t>
  </si>
  <si>
    <t>| | | | | +- plan.xlsx</t>
  </si>
  <si>
    <t xml:space="preserve">                                    | | | | | +- risk.xlsx                                  </t>
  </si>
  <si>
    <t>| | | | | +- risk.xlsx</t>
  </si>
  <si>
    <t xml:space="preserve">                                    | | | +- B                                  </t>
  </si>
  <si>
    <t>| | | +- B</t>
  </si>
  <si>
    <t xml:space="preserve">  設定ファイルの以下の項目は上書きされます                                 | | | | | +- issue.xlsx                                  </t>
  </si>
  <si>
    <t>設定ファイルの以下の項目は上書きされます</t>
  </si>
  <si>
    <t xml:space="preserve">   date       ← 実行日時が入ります                        | | | | | +- plan.xlsx                                  </t>
  </si>
  <si>
    <t>date</t>
  </si>
  <si>
    <t>← 実行日時が入ります</t>
  </si>
  <si>
    <t xml:space="preserve">   list の url       ← 結果帳票に記載したパスが入ります                        | | | | | +- risk.xlsx                                  </t>
  </si>
  <si>
    <t>list の url</t>
  </si>
  <si>
    <t>← 結果帳票に記載したパスが入ります</t>
  </si>
  <si>
    <t xml:space="preserve">   list の mdate       ← 結果帳票に記載した更新日時が入ります                        | | | +- C                                  </t>
  </si>
  <si>
    <t>list の mdate</t>
  </si>
  <si>
    <t>← 結果帳票に記載した更新日時が入ります</t>
  </si>
  <si>
    <t>| | | +- C</t>
  </si>
  <si>
    <t xml:space="preserve"> ■ 設定ファイルの準備                                  | | | | +- mng                                  </t>
  </si>
  <si>
    <t>■ 設定ファイルの準備</t>
  </si>
  <si>
    <t xml:space="preserve">  以下に設定ファイルの例を示します                                 | | | | | +- issue.xlsx                                  </t>
  </si>
  <si>
    <t>以下に設定ファイルの例を示します</t>
  </si>
  <si>
    <t xml:space="preserve">  赤字は説明のためのコメントのため、設定ファイルには含まれない点ご注意くださいませ                                 | | | | | +- plan.xlsx                                  </t>
  </si>
  <si>
    <t>赤字は説明のためのコメントのため、設定ファイルには含まれない点ご注意くださいませ</t>
  </si>
  <si>
    <t xml:space="preserve">    {                               | | | +- spec_prj_A                                  </t>
  </si>
  <si>
    <t>{</t>
  </si>
  <si>
    <t>| | | +- spec_prj_A</t>
  </si>
  <si>
    <t xml:space="preserve">        "title": "プロジェクトＡ（ベース：Ｘ、派生：α）の開発資料リスト",                               | | | | +- spec_system_design.xlsx                                  </t>
  </si>
  <si>
    <t xml:space="preserve">    "title": "プロジェクトＡ（ベース：Ｘ、派生：α）の開発資料リスト",</t>
  </si>
  <si>
    <t xml:space="preserve">        "description": [              ↑結果帳票のタイトルをご記載ください                | | | +- spec_prj_B                                  </t>
  </si>
  <si>
    <t xml:space="preserve">    "description": [</t>
  </si>
  <si>
    <t>↑結果帳票のタイトルをご記載ください</t>
  </si>
  <si>
    <t>| | | +- spec_prj_B</t>
  </si>
  <si>
    <t xml:space="preserve">            "派生αはベースＸから流用開発する",              ←結果帳票の description をご記載ください                | | | | +- spec_system_design.xlsx                                  </t>
  </si>
  <si>
    <t xml:space="preserve">        "派生αはベースＸから流用開発する",</t>
  </si>
  <si>
    <t>←結果帳票の description をご記載ください</t>
  </si>
  <si>
    <t xml:space="preserve">            "仕様書を以下に列挙する"              　複数行にすることができます                | | | +- spec_prj_C                                  </t>
  </si>
  <si>
    <t xml:space="preserve">        "仕様書を以下に列挙する"</t>
  </si>
  <si>
    <t>　複数行にすることができます</t>
  </si>
  <si>
    <t>| | | +- spec_prj_C</t>
  </si>
  <si>
    <t xml:space="preserve">        ],                               | | | | +- spec_system_design.xlsx                                  </t>
  </si>
  <si>
    <t xml:space="preserve">    ],</t>
  </si>
  <si>
    <t xml:space="preserve">        "settings": {                               | | | +- spec_standard                                  </t>
  </si>
  <si>
    <t xml:space="preserve">    "settings": {</t>
  </si>
  <si>
    <t>| | | +- spec_standard</t>
  </si>
  <si>
    <t xml:space="preserve">            "check1": "check1",              ←結果帳票の check1 の文字列をご指定ください                | | | | +- spec_system_design.xlsx                                  </t>
  </si>
  <si>
    <t xml:space="preserve">        "check1": "check1",</t>
  </si>
  <si>
    <t>←結果帳票の check1 の文字列をご指定ください</t>
  </si>
  <si>
    <t xml:space="preserve">            "check2": "check2",              ←結果帳票の check2 の文字列をご指定ください                                                   </t>
  </si>
  <si>
    <t xml:space="preserve">        "check2": "check2",</t>
  </si>
  <si>
    <t>←結果帳票の check2 の文字列をご指定ください</t>
  </si>
  <si>
    <t xml:space="preserve">            "review": "review",              ←結果帳票の review の文字列をご指定ください                                                   </t>
  </si>
  <si>
    <t xml:space="preserve">        "review": "review",</t>
  </si>
  <si>
    <t>←結果帳票の review の文字列をご指定ください</t>
  </si>
  <si>
    <t xml:space="preserve">            "check": "✓",              ←結果帳票のリンク欄の文字列をご指定ください                                                   </t>
  </si>
  <si>
    <t xml:space="preserve">        "check": "✓",</t>
  </si>
  <si>
    <t>←結果帳票のリンク欄の文字列をご指定ください</t>
  </si>
  <si>
    <t xml:space="preserve">            "is_export": false              ←ファイルをコピーして取得したい際に true をご指定ください                                                   </t>
  </si>
  <si>
    <t xml:space="preserve">        "is_export": false</t>
  </si>
  <si>
    <t>←ファイルをコピーして取得したい際に true をご指定ください</t>
  </si>
  <si>
    <t xml:space="preserve">        },                                                                  </t>
  </si>
  <si>
    <t xml:space="preserve">    },</t>
  </si>
  <si>
    <t xml:space="preserve">        "date": "",              ←実行時に実行結果が入力されます（空欄で OK）                                                   </t>
  </si>
  <si>
    <t xml:space="preserve">    "date": "",</t>
  </si>
  <si>
    <t>←実行時に実行結果が入力されます（空欄で OK）</t>
  </si>
  <si>
    <t xml:space="preserve">        "list": [                                                                  </t>
  </si>
  <si>
    <t xml:space="preserve">    "list": [</t>
  </si>
  <si>
    <t xml:space="preserve">            {                                                                  </t>
  </si>
  <si>
    <t xml:space="preserve">        {</t>
  </si>
  <si>
    <t xml:space="preserve">                "title": "プロジェクト計画書",              ←書類の名称をご指定ください                                                   </t>
  </si>
  <si>
    <t xml:space="preserve">            "title": "プロジェクト計画書",</t>
  </si>
  <si>
    <t>←書類の名称をご指定ください</t>
  </si>
  <si>
    <t xml:space="preserve">                "path": "C:\\svn\\repos\\trunk\\prj\\A\\mng",                      ←書類を検索するパスを指定ください（\ は \\ にしてご記載ください）                                           </t>
  </si>
  <si>
    <t xml:space="preserve">            "path": "C:\\svn\\repos\\trunk\\prj\\A\\mng",</t>
  </si>
  <si>
    <t>←書類を検索するパスを指定ください（\ は \\ にしてご記載ください）</t>
  </si>
  <si>
    <t xml:space="preserve">                "keyword": "plan",                      ←部分一致に使うキーワードをご指定ください                                           </t>
  </si>
  <si>
    <t xml:space="preserve">            "keyword": "plan",</t>
  </si>
  <si>
    <t>←部分一致に使うキーワードをご指定ください</t>
  </si>
  <si>
    <t xml:space="preserve">                "flag": "file",                      ←部分一致対象として file or directory をご指定ください                                           </t>
  </si>
  <si>
    <t xml:space="preserve">            "flag": "file",</t>
  </si>
  <si>
    <t>←部分一致対象として file or directory をご指定ください</t>
  </si>
  <si>
    <t xml:space="preserve">                "url": "",                         ←実行時に実行結果が入力されます（空欄で OK）                                        </t>
  </si>
  <si>
    <t xml:space="preserve">            "url": "",</t>
  </si>
  <si>
    <t xml:space="preserve">                "mdate": ""                         ←実行時に実行結果が入力されます（空欄で OK）                                        </t>
  </si>
  <si>
    <t xml:space="preserve">            "mdate": ""</t>
  </si>
  <si>
    <t xml:space="preserve">            },                                                                  </t>
  </si>
  <si>
    <t xml:space="preserve">        },</t>
  </si>
  <si>
    <t xml:space="preserve">       ：略                            ＜設定ファイル作成上の要注意事項&gt;                                  </t>
  </si>
  <si>
    <t>：略</t>
  </si>
  <si>
    <t>＜設定ファイル作成上の要注意事項&gt;</t>
  </si>
  <si>
    <t xml:space="preserve">            }                               ・パスに含まれる \ は \\ にして記載する必要があります                                  </t>
  </si>
  <si>
    <t xml:space="preserve">        }</t>
  </si>
  <si>
    <t>・パスに含まれる \ は \\ にして記載する必要があります</t>
  </si>
  <si>
    <t xml:space="preserve">        ]                               ・json 形式である必要があり、"," の抜けや不必要な挿入で動作しない場合があります                                  </t>
  </si>
  <si>
    <t xml:space="preserve">    ]</t>
  </si>
  <si>
    <t>・json 形式である必要があり、"," の抜けや不必要な挿入で動作しない場合があります</t>
  </si>
  <si>
    <t xml:space="preserve">    }                               ・複数行は description のみ対応で、["1行目","2行目","3行目",…] という記載の仕方をしてください                                  </t>
  </si>
  <si>
    <t>}</t>
  </si>
  <si>
    <t>・複数行は description のみ対応で、["1行目","2行目","3行目",…] という記載の仕方をしてください</t>
  </si>
  <si>
    <t xml:space="preserve">プロジェクトＡ（ベース：Ｘ、派生：α）の開発資料リスト               ＜本シートの使い方&gt;
1. タイトルを記載する      </t>
  </si>
  <si>
    <t>プロジェクトＡ（ベース：Ｘ、派生：α）の開発資料リスト</t>
  </si>
  <si>
    <t>＜本シートの使い方&gt;
1. タイトルを記載する</t>
  </si>
  <si>
    <t xml:space="preserve">参照パスリストnameドライブsvnプロジェクト管理設計仕様            入力欄  </t>
  </si>
  <si>
    <t>参照パスリスト</t>
  </si>
  <si>
    <t>name</t>
  </si>
  <si>
    <t>ドライブ</t>
  </si>
  <si>
    <t>svn</t>
  </si>
  <si>
    <t>プロジェクト</t>
  </si>
  <si>
    <t>管理</t>
  </si>
  <si>
    <t>設計</t>
  </si>
  <si>
    <t>仕様</t>
  </si>
  <si>
    <t>入力欄</t>
  </si>
  <si>
    <t xml:space="preserve"> pathc:\svn\trunk\prj\file:///c:/svn/repos/trunk/prj/A/mng/design/spec/               </t>
  </si>
  <si>
    <t>path</t>
  </si>
  <si>
    <t>c:\svn\trunk\prj\</t>
  </si>
  <si>
    <t>file:///c:/svn/repos/trunk/prj/</t>
  </si>
  <si>
    <t>A/</t>
  </si>
  <si>
    <t>mng/</t>
  </si>
  <si>
    <t>design/</t>
  </si>
  <si>
    <t>spec/</t>
  </si>
  <si>
    <t xml:space="preserve">設定情報description派生αはベースＸから流用開発する             2. description を記載する      </t>
  </si>
  <si>
    <t>設定情報</t>
  </si>
  <si>
    <t>description</t>
  </si>
  <si>
    <t>派生αはベースＸから流用開発する</t>
  </si>
  <si>
    <t>2. description を記載する</t>
  </si>
  <si>
    <t xml:space="preserve">  仕様書を以下に列挙する             ※複数行可、１セル１行、行が不足した場合、      </t>
  </si>
  <si>
    <t>仕様書を以下に列挙する</t>
  </si>
  <si>
    <t>※複数行可、１セル１行、行が不足した場合、</t>
  </si>
  <si>
    <t xml:space="preserve">                　7-9行目のいずれかを選択、右クリック      </t>
  </si>
  <si>
    <t>　7-9行目のいずれかを選択、右クリック</t>
  </si>
  <si>
    <t xml:space="preserve">                　から コピー と コピーしたセルの挿入      </t>
  </si>
  <si>
    <t>　から コピー と コピーしたセルの挿入</t>
  </si>
  <si>
    <t xml:space="preserve">                　を実行してください      </t>
  </si>
  <si>
    <t>　を実行してください</t>
  </si>
  <si>
    <t xml:space="preserve"> settingscheck1check1            3. check1 に入れる文字列を記載する      </t>
  </si>
  <si>
    <t>settings</t>
  </si>
  <si>
    <t>3. check1 に入れる文字列を記載する</t>
  </si>
  <si>
    <t xml:space="preserve">  check2check2            4. check2 に入れる文字列を記載する      </t>
  </si>
  <si>
    <t>4. check2 に入れる文字列を記載する</t>
  </si>
  <si>
    <t xml:space="preserve">  reviewreview            5. review に入れる文字列を記載する      </t>
  </si>
  <si>
    <t>5. review に入れる文字列を記載する</t>
  </si>
  <si>
    <t xml:space="preserve">  check✓            6. リンクに使う文字列を記載する      </t>
  </si>
  <si>
    <t>check</t>
  </si>
  <si>
    <t>✓</t>
  </si>
  <si>
    <t>6. リンクに使う文字列を記載する</t>
  </si>
  <si>
    <t xml:space="preserve">  is_exportFalse            7. 対象のデータをコピーしてローカルに      </t>
  </si>
  <si>
    <t>is_export</t>
  </si>
  <si>
    <t>7. 対象のデータをコピーしてローカルに</t>
  </si>
  <si>
    <t xml:space="preserve"> listtitleflagkeywordpath          　保存する場合に true を指定する      </t>
  </si>
  <si>
    <t>list</t>
  </si>
  <si>
    <t>title</t>
  </si>
  <si>
    <t>flag</t>
  </si>
  <si>
    <t>keyword</t>
  </si>
  <si>
    <t>　保存する場合に true を指定する</t>
  </si>
  <si>
    <t xml:space="preserve">  プロジェクト計画書fileplanc:\svn\trunk\prj\A/mng/          8. 必要数、以下を繰り返す      </t>
  </si>
  <si>
    <t>プロジェクト計画書</t>
  </si>
  <si>
    <t>file</t>
  </si>
  <si>
    <t>plan</t>
  </si>
  <si>
    <t>c:\svn\trunk\prj\A/mng/</t>
  </si>
  <si>
    <t>8. 必要数、以下を繰り返す</t>
  </si>
  <si>
    <t xml:space="preserve">  リスク管理表fileriskc:\svn\trunk\prj\A/mng/          　1. title で 書類の名称として記載する文字列を指定する      </t>
  </si>
  <si>
    <t>リスク管理表</t>
  </si>
  <si>
    <t>risk</t>
  </si>
  <si>
    <t>　1. title で 書類の名称として記載する文字列を指定する</t>
  </si>
  <si>
    <t xml:space="preserve">  課題管理表fileissuec:\svn\trunk\prj\A/mng/          　2. flag で 検索対象を ファイル か ディレクトリ か選択する      </t>
  </si>
  <si>
    <t>課題管理表</t>
  </si>
  <si>
    <t>issue</t>
  </si>
  <si>
    <t>　2. flag で 検索対象を ファイル か ディレクトリ か選択する</t>
  </si>
  <si>
    <t xml:space="preserve">  システム仕様書filesystem_designc:\svn\trunk\prj\spec/          　3. keyword で 検索キーワードを指定する      </t>
  </si>
  <si>
    <t>システム仕様書</t>
  </si>
  <si>
    <t>system_design</t>
  </si>
  <si>
    <t>c:\svn\trunk\prj\spec/</t>
  </si>
  <si>
    <t>　3. keyword で 検索キーワードを指定する</t>
  </si>
  <si>
    <t xml:space="preserve">                　4. path で 検索するパスの先頭パスを指定する      </t>
  </si>
  <si>
    <t>　4. path で 検索するパスの先頭パスを指定する</t>
  </si>
  <si>
    <t xml:space="preserve">                　※足りない場合は行を増やして下さい      </t>
  </si>
  <si>
    <t>　※足りない場合は行を増やして下さい</t>
  </si>
  <si>
    <t xml:space="preserve">                　　既存の行を選択、右クリックから コピー と コピーしたセルの挿入 を実行してください      </t>
  </si>
  <si>
    <t>　　既存の行を選択、右クリックから コピー と コピーしたセルの挿入 を実行してください</t>
  </si>
  <si>
    <t xml:space="preserve">                ※参照パスリストをご活用いただいて、path の入力を計算式にすると他プロジェクトへの展開が容易になろうかと思います      </t>
  </si>
  <si>
    <t>※参照パスリストをご活用いただいて、path の入力を計算式にすると他プロジェクトへの展開が容易になろうかと思います</t>
  </si>
  <si>
    <t xml:space="preserve">                &lt;注意事項&gt;      </t>
  </si>
  <si>
    <t>&lt;注意事項&gt;</t>
  </si>
  <si>
    <t xml:space="preserve">                ツールが動作しなくなる可能性があるため、以下のことに注意いただきますようにお願い致します      </t>
  </si>
  <si>
    <t>ツールが動作しなくなる可能性があるため、以下のことに注意いただきますようにお願い致します</t>
  </si>
  <si>
    <t xml:space="preserve">                ・入力欄以外の入力はしないようにお願い致します      </t>
  </si>
  <si>
    <t>・入力欄以外の入力はしないようにお願い致します</t>
  </si>
  <si>
    <t xml:space="preserve">                ・シート名を変えないでください      </t>
  </si>
  <si>
    <t>・シート名を変えないでください</t>
  </si>
  <si>
    <t>ファイル(L)   C:\sample-old.xlsx</t>
    <phoneticPr fontId="13"/>
  </si>
  <si>
    <t>ファイル(R)   C:\sample-new.xlsx</t>
    <phoneticPr fontId="13"/>
  </si>
  <si>
    <t>C:\sample-old.xlsx</t>
    <phoneticPr fontId="13"/>
  </si>
  <si>
    <t>C:\sample-new.xlsx</t>
    <phoneticPr fontId="13"/>
  </si>
  <si>
    <t>C:\sample-old.xlsx</t>
    <phoneticPr fontId="13"/>
  </si>
  <si>
    <t>C:\sample-new.xlsx</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</si>
</sst>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Ｐゴシック"/>
      <family val="2"/>
      <scheme val="minor"/>
    </font>
    <font>
      <b/>
      <sz val="22"/>
      <name val="ＭＳ Ｐゴシック"/>
      <family val="3"/>
      <charset val="128"/>
    </font>
    <font>
      <b/>
      <sz val="22"/>
      <color theme="1"/>
      <name val="UD Digi Kyokasho NP-B"/>
      <family val="1"/>
      <charset val="128"/>
    </font>
    <font>
      <sz val="11"/>
      <color theme="1"/>
      <name val="UD Digi Kyokasho NP-B"/>
      <family val="3"/>
      <charset val="128"/>
    </font>
    <font>
      <b/>
      <sz val="11"/>
      <name val="ＭＳ Ｐゴシック"/>
      <family val="3"/>
      <charset val="128"/>
    </font>
    <font>
      <sz val="11"/>
      <color rgb="FFFF0000"/>
      <name val="UD Digi Kyokasho NP-B"/>
      <family val="3"/>
      <charset val="128"/>
    </font>
    <font>
      <sz val="11"/>
      <color rgb="FFFF0000"/>
      <name val="UD Digi Kyokasho NP-B"/>
      <family val="1"/>
      <charset val="128"/>
    </font>
    <font>
      <sz val="12"/>
      <color theme="10"/>
      <name val="ＭＳ Ｐゴシック"/>
      <family val="2"/>
      <scheme val="minor"/>
    </font>
    <font>
      <sz val="11"/>
      <color rgb="FFC0C0C0"/>
      <name val="ＭＳ Ｐゴシック"/>
      <family val="3"/>
      <charset val="128"/>
    </font>
    <font>
      <b/>
      <sz val="22"/>
      <color theme="1"/>
      <name val="ＭＳ Ｐゴシック"/>
      <family val="3"/>
      <charset val="128"/>
      <scheme val="minor"/>
    </font>
    <font>
      <sz val="11"/>
      <color theme="1"/>
      <name val="ＭＳ Ｐゴシック"/>
      <family val="2"/>
      <scheme val="minor"/>
    </font>
    <font>
      <sz val="22"/>
      <color theme="1"/>
      <name val="ＭＳ Ｐゴシック"/>
      <family val="2"/>
      <scheme val="minor"/>
    </font>
    <font>
      <u/>
      <sz val="11"/>
      <color theme="10"/>
      <name val="ＭＳ Ｐゴシック"/>
      <family val="2"/>
      <scheme val="minor"/>
    </font>
    <font>
      <sz val="6"/>
      <name val="ＭＳ Ｐゴシック"/>
      <family val="3"/>
      <charset val="128"/>
      <scheme val="minor"/>
    </font>
  </fonts>
  <fills count="10">
    <fill>
      <patternFill patternType="none"/>
    </fill>
    <fill>
      <patternFill patternType="gray125"/>
    </fill>
    <fill>
      <patternFill patternType="solid">
        <fgColor theme="0"/>
        <bgColor indexed="64"/>
      </patternFill>
    </fill>
    <fill>
      <patternFill patternType="solid">
        <fgColor rgb="FFB09EB9"/>
        <bgColor rgb="FFB09EB9"/>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C0C0C0"/>
        <bgColor rgb="FFC0C0C0"/>
      </patternFill>
    </fill>
    <fill>
      <patternFill patternType="solid">
        <fgColor theme="5" tint="0.59999389629810485"/>
        <bgColor indexed="64"/>
      </patternFill>
    </fill>
  </fills>
  <borders count="19">
    <border>
      <left/>
      <right/>
      <top/>
      <bottom/>
      <diagonal/>
    </border>
    <border>
      <left style="thin">
        <color auto="1"/>
      </left>
      <right style="thin">
        <color rgb="FF696969"/>
      </right>
      <top style="thin">
        <color rgb="FF696969"/>
      </top>
      <bottom style="thin">
        <color rgb="FF696969"/>
      </bottom>
      <diagonal/>
    </border>
    <border>
      <left style="thin">
        <color rgb="FF696969"/>
      </left>
      <right style="thin">
        <color rgb="FF696969"/>
      </right>
      <top style="thin">
        <color rgb="FF696969"/>
      </top>
      <bottom/>
      <diagonal/>
    </border>
    <border>
      <left style="thin">
        <color rgb="FF696969"/>
      </left>
      <right style="thin">
        <color rgb="FF696969"/>
      </right>
      <top/>
      <bottom style="thin">
        <color rgb="FF696969"/>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696969"/>
      </left>
      <right style="thin">
        <color rgb="FF696969"/>
      </right>
      <top style="thin">
        <color rgb="FF696969"/>
      </top>
      <bottom style="thin">
        <color rgb="FF696969"/>
      </bottom>
      <diagonal/>
    </border>
  </borders>
  <cellStyleXfs count="2">
    <xf numFmtId="0" fontId="0" fillId="0" borderId="0"/>
    <xf numFmtId="0" fontId="7" fillId="0" borderId="0"/>
  </cellStyleXfs>
  <cellXfs count="58">
    <xf numFmtId="0" fontId="0" fillId="0" borderId="0" xfId="0"/>
    <xf numFmtId="0" fontId="1" fillId="0" borderId="0" xfId="0" applyFont="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8" xfId="0" applyBorder="1"/>
    <xf numFmtId="0" fontId="7" fillId="0" borderId="18" xfId="1" applyBorder="1"/>
    <xf numFmtId="0" fontId="7" fillId="0" borderId="0" xfId="1"/>
    <xf numFmtId="0" fontId="8" fillId="8" borderId="0" xfId="0" applyFont="1" applyFill="1"/>
    <xf numFmtId="0" fontId="0" fillId="8" borderId="0" xfId="0" applyFill="1"/>
    <xf numFmtId="0" fontId="0" fillId="0" borderId="0" xfId="0" applyAlignment="1">
      <alignment horizontal="left" vertical="top"/>
    </xf>
    <xf numFmtId="0" fontId="2" fillId="2" borderId="4" xfId="0" applyFont="1" applyFill="1" applyBorder="1"/>
    <xf numFmtId="0" fontId="3" fillId="2" borderId="4" xfId="0" applyFont="1" applyFill="1" applyBorder="1"/>
    <xf numFmtId="0" fontId="3" fillId="2" borderId="0" xfId="0" applyFont="1" applyFill="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4" fillId="3" borderId="0" xfId="0" applyFont="1" applyFill="1" applyAlignment="1">
      <alignment shrinkToFit="1"/>
    </xf>
    <xf numFmtId="0" fontId="3" fillId="4" borderId="0" xfId="0" applyFont="1" applyFill="1"/>
    <xf numFmtId="0" fontId="5" fillId="2" borderId="0" xfId="0" applyFont="1" applyFill="1"/>
    <xf numFmtId="0" fontId="3" fillId="5" borderId="0" xfId="0" applyFont="1" applyFill="1"/>
    <xf numFmtId="0" fontId="3" fillId="6" borderId="0" xfId="0" applyFont="1" applyFill="1"/>
    <xf numFmtId="0" fontId="3" fillId="7" borderId="0" xfId="0" applyFont="1" applyFill="1"/>
    <xf numFmtId="0" fontId="6" fillId="5" borderId="0" xfId="0" applyFont="1" applyFill="1"/>
    <xf numFmtId="0" fontId="5" fillId="5" borderId="0" xfId="0" applyFont="1" applyFill="1"/>
    <xf numFmtId="0" fontId="3" fillId="2" borderId="10" xfId="0" applyFont="1" applyFill="1" applyBorder="1"/>
    <xf numFmtId="0" fontId="3" fillId="2" borderId="11" xfId="0" applyFont="1" applyFill="1" applyBorder="1"/>
    <xf numFmtId="0" fontId="9" fillId="6" borderId="0" xfId="0" applyFont="1" applyFill="1" applyAlignment="1">
      <alignment vertical="center"/>
    </xf>
    <xf numFmtId="0" fontId="10" fillId="2" borderId="0" xfId="0" applyFont="1" applyFill="1" applyAlignment="1">
      <alignment horizontal="left" wrapText="1"/>
    </xf>
    <xf numFmtId="0" fontId="11" fillId="2" borderId="0" xfId="0" applyFont="1" applyFill="1"/>
    <xf numFmtId="0" fontId="10" fillId="9" borderId="5" xfId="0" applyFont="1" applyFill="1" applyBorder="1"/>
    <xf numFmtId="0" fontId="10" fillId="4" borderId="12" xfId="0" applyFont="1" applyFill="1" applyBorder="1"/>
    <xf numFmtId="0" fontId="10" fillId="6" borderId="12" xfId="0" applyFont="1" applyFill="1" applyBorder="1"/>
    <xf numFmtId="0" fontId="10" fillId="9" borderId="10" xfId="0" applyFont="1" applyFill="1" applyBorder="1"/>
    <xf numFmtId="0" fontId="12" fillId="6" borderId="12" xfId="0" applyFont="1" applyFill="1" applyBorder="1"/>
    <xf numFmtId="0" fontId="10" fillId="9" borderId="13" xfId="0" applyFont="1" applyFill="1" applyBorder="1"/>
    <xf numFmtId="0" fontId="10" fillId="4" borderId="13" xfId="0" applyFont="1" applyFill="1" applyBorder="1"/>
    <xf numFmtId="0" fontId="10" fillId="6" borderId="13" xfId="0" applyFont="1" applyFill="1" applyBorder="1"/>
    <xf numFmtId="0" fontId="10" fillId="0" borderId="6" xfId="0" applyFont="1" applyBorder="1"/>
    <xf numFmtId="0" fontId="10" fillId="0" borderId="7" xfId="0" applyFont="1" applyBorder="1"/>
    <xf numFmtId="0" fontId="10" fillId="2" borderId="0" xfId="0" applyFont="1" applyFill="1"/>
    <xf numFmtId="0" fontId="10" fillId="9" borderId="14" xfId="0" applyFont="1" applyFill="1" applyBorder="1"/>
    <xf numFmtId="0" fontId="10" fillId="4" borderId="14" xfId="0" applyFont="1" applyFill="1" applyBorder="1"/>
    <xf numFmtId="0" fontId="10" fillId="6" borderId="14" xfId="0" applyFont="1" applyFill="1" applyBorder="1"/>
    <xf numFmtId="0" fontId="10" fillId="0" borderId="9" xfId="0" applyFont="1" applyBorder="1"/>
    <xf numFmtId="0" fontId="10" fillId="4" borderId="15" xfId="0" applyFont="1" applyFill="1" applyBorder="1"/>
    <xf numFmtId="0" fontId="10" fillId="6" borderId="15" xfId="0" applyFont="1" applyFill="1" applyBorder="1"/>
    <xf numFmtId="0" fontId="10" fillId="0" borderId="4" xfId="0" applyFont="1" applyBorder="1"/>
    <xf numFmtId="0" fontId="10" fillId="0" borderId="11" xfId="0" applyFont="1" applyBorder="1"/>
    <xf numFmtId="0" fontId="10" fillId="0" borderId="16" xfId="0" applyFont="1" applyBorder="1"/>
    <xf numFmtId="0" fontId="10" fillId="0" borderId="17" xfId="0" applyFont="1" applyBorder="1"/>
    <xf numFmtId="0" fontId="10" fillId="6" borderId="12" xfId="0" applyFont="1" applyFill="1" applyBorder="1" applyAlignment="1">
      <alignment horizontal="left"/>
    </xf>
    <xf numFmtId="0" fontId="10" fillId="4" borderId="5" xfId="0" applyFont="1" applyFill="1" applyBorder="1"/>
    <xf numFmtId="0" fontId="10" fillId="4" borderId="8" xfId="0" applyFont="1" applyFill="1" applyBorder="1"/>
    <xf numFmtId="0" fontId="10" fillId="9" borderId="15" xfId="0" applyFont="1" applyFill="1" applyBorder="1"/>
    <xf numFmtId="0" fontId="10" fillId="4" borderId="10" xfId="0" applyFont="1" applyFill="1" applyBorder="1"/>
  </cellXfs>
  <cellStyles count="2">
    <cellStyle name="ハイパーリンク" xfId="1" builtinId="8"/>
    <cellStyle name="標準" xfId="0" builtinId="0"/>
  </cellStyles>
  <dxfs count="4">
    <dxf>
      <font>
        <b/>
      </font>
      <fill>
        <patternFill patternType="solid">
          <fgColor rgb="FFB09EB9"/>
          <bgColor rgb="FFB09EB9"/>
        </patternFill>
      </fill>
    </dxf>
    <dxf>
      <font>
        <b/>
      </font>
      <fill>
        <patternFill patternType="solid">
          <fgColor rgb="FFB09EB9"/>
          <bgColor rgb="FFB09EB9"/>
        </patternFill>
      </fill>
    </dxf>
    <dxf>
      <font>
        <b/>
      </font>
      <fill>
        <patternFill patternType="solid">
          <fgColor rgb="FFB09EB9"/>
          <bgColor rgb="FFB09EB9"/>
        </patternFill>
      </fill>
    </dxf>
    <dxf>
      <font>
        <b/>
      </font>
      <fill>
        <patternFill patternType="solid">
          <fgColor rgb="FFB09EB9"/>
          <bgColor rgb="FFB09EB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table5" displayName="t_table5" ref="C21:J23">
  <autoFilter ref="C21:J23" xr:uid="{00000000-0009-0000-0100-000001000000}"/>
  <tableColumns count="8">
    <tableColumn id="3" xr3:uid="{00000000-0010-0000-0000-000003000000}" name="シート名"/>
    <tableColumn id="4" xr3:uid="{00000000-0010-0000-0000-000004000000}" name="L"/>
    <tableColumn id="5" xr3:uid="{00000000-0010-0000-0000-000005000000}" name="R"/>
    <tableColumn id="6" xr3:uid="{00000000-0010-0000-0000-000006000000}" name="差分"/>
    <tableColumn id="7" xr3:uid="{00000000-0010-0000-0000-000007000000}" name="差分行数"/>
    <tableColumn id="8" xr3:uid="{00000000-0010-0000-0000-000008000000}" name="備考"/>
    <tableColumn id="9" xr3:uid="{00000000-0010-0000-0000-000009000000}" name="check1"/>
    <tableColumn id="10" xr3:uid="{00000000-0010-0000-0000-00000A000000}" name="check2"/>
  </tableColumns>
  <tableStyleInfo name="s_table6"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table1" displayName="t_table1" ref="A2:HU81">
  <autoFilter ref="A2:HU81" xr:uid="{00000000-0009-0000-0100-000002000000}"/>
  <tableColumns count="229">
    <tableColumn id="1" xr3:uid="{00000000-0010-0000-0100-000001000000}" name="label1"/>
    <tableColumn id="2" xr3:uid="{00000000-0010-0000-0100-000002000000}" name="label2"/>
    <tableColumn id="3" xr3:uid="{00000000-0010-0000-0100-000003000000}" name="label3"/>
    <tableColumn id="4" xr3:uid="{00000000-0010-0000-0100-000004000000}" name="label4"/>
    <tableColumn id="5" xr3:uid="{00000000-0010-0000-0100-000005000000}" name="label5"/>
    <tableColumn id="6" xr3:uid="{00000000-0010-0000-0100-000006000000}" name="label6"/>
    <tableColumn id="7" xr3:uid="{00000000-0010-0000-0100-000007000000}" name="label7"/>
    <tableColumn id="8" xr3:uid="{00000000-0010-0000-0100-000008000000}" name="label8"/>
    <tableColumn id="9" xr3:uid="{00000000-0010-0000-0100-000009000000}" name="label9"/>
    <tableColumn id="10" xr3:uid="{00000000-0010-0000-0100-00000A000000}" name="label10"/>
    <tableColumn id="11" xr3:uid="{00000000-0010-0000-0100-00000B000000}" name="label11"/>
    <tableColumn id="12" xr3:uid="{00000000-0010-0000-0100-00000C000000}" name="label12"/>
    <tableColumn id="13" xr3:uid="{00000000-0010-0000-0100-00000D000000}" name="label13"/>
    <tableColumn id="14" xr3:uid="{00000000-0010-0000-0100-00000E000000}" name="label14"/>
    <tableColumn id="15" xr3:uid="{00000000-0010-0000-0100-00000F000000}" name="label15"/>
    <tableColumn id="16" xr3:uid="{00000000-0010-0000-0100-000010000000}" name="label16"/>
    <tableColumn id="17" xr3:uid="{00000000-0010-0000-0100-000011000000}" name="label17"/>
    <tableColumn id="18" xr3:uid="{00000000-0010-0000-0100-000012000000}" name="label18"/>
    <tableColumn id="19" xr3:uid="{00000000-0010-0000-0100-000013000000}" name="label19"/>
    <tableColumn id="20" xr3:uid="{00000000-0010-0000-0100-000014000000}" name="label20"/>
    <tableColumn id="21" xr3:uid="{00000000-0010-0000-0100-000015000000}" name="label21"/>
    <tableColumn id="22" xr3:uid="{00000000-0010-0000-0100-000016000000}" name="label22"/>
    <tableColumn id="23" xr3:uid="{00000000-0010-0000-0100-000017000000}" name="label23"/>
    <tableColumn id="24" xr3:uid="{00000000-0010-0000-0100-000018000000}" name="label24"/>
    <tableColumn id="25" xr3:uid="{00000000-0010-0000-0100-000019000000}" name="label25"/>
    <tableColumn id="26" xr3:uid="{00000000-0010-0000-0100-00001A000000}" name="label26"/>
    <tableColumn id="27" xr3:uid="{00000000-0010-0000-0100-00001B000000}" name="label27"/>
    <tableColumn id="28" xr3:uid="{00000000-0010-0000-0100-00001C000000}" name="label28"/>
    <tableColumn id="29" xr3:uid="{00000000-0010-0000-0100-00001D000000}" name="label29"/>
    <tableColumn id="30" xr3:uid="{00000000-0010-0000-0100-00001E000000}" name="label30"/>
    <tableColumn id="31" xr3:uid="{00000000-0010-0000-0100-00001F000000}" name="label31"/>
    <tableColumn id="32" xr3:uid="{00000000-0010-0000-0100-000020000000}" name="label32"/>
    <tableColumn id="33" xr3:uid="{00000000-0010-0000-0100-000021000000}" name="label33"/>
    <tableColumn id="34" xr3:uid="{00000000-0010-0000-0100-000022000000}" name="label34"/>
    <tableColumn id="35" xr3:uid="{00000000-0010-0000-0100-000023000000}" name="label35"/>
    <tableColumn id="36" xr3:uid="{00000000-0010-0000-0100-000024000000}" name="label36"/>
    <tableColumn id="37" xr3:uid="{00000000-0010-0000-0100-000025000000}" name="label37"/>
    <tableColumn id="38" xr3:uid="{00000000-0010-0000-0100-000026000000}" name="label38"/>
    <tableColumn id="39" xr3:uid="{00000000-0010-0000-0100-000027000000}" name="label39"/>
    <tableColumn id="40" xr3:uid="{00000000-0010-0000-0100-000028000000}" name="label40"/>
    <tableColumn id="41" xr3:uid="{00000000-0010-0000-0100-000029000000}" name="label41"/>
    <tableColumn id="42" xr3:uid="{00000000-0010-0000-0100-00002A000000}" name="label42"/>
    <tableColumn id="43" xr3:uid="{00000000-0010-0000-0100-00002B000000}" name="label43"/>
    <tableColumn id="44" xr3:uid="{00000000-0010-0000-0100-00002C000000}" name="label44"/>
    <tableColumn id="45" xr3:uid="{00000000-0010-0000-0100-00002D000000}" name="label45"/>
    <tableColumn id="46" xr3:uid="{00000000-0010-0000-0100-00002E000000}" name="label46"/>
    <tableColumn id="47" xr3:uid="{00000000-0010-0000-0100-00002F000000}" name="label47"/>
    <tableColumn id="48" xr3:uid="{00000000-0010-0000-0100-000030000000}" name="label48"/>
    <tableColumn id="49" xr3:uid="{00000000-0010-0000-0100-000031000000}" name="label49"/>
    <tableColumn id="50" xr3:uid="{00000000-0010-0000-0100-000032000000}" name="label50"/>
    <tableColumn id="51" xr3:uid="{00000000-0010-0000-0100-000033000000}" name="label51"/>
    <tableColumn id="52" xr3:uid="{00000000-0010-0000-0100-000034000000}" name="label52"/>
    <tableColumn id="53" xr3:uid="{00000000-0010-0000-0100-000035000000}" name="label53"/>
    <tableColumn id="54" xr3:uid="{00000000-0010-0000-0100-000036000000}" name="label54"/>
    <tableColumn id="55" xr3:uid="{00000000-0010-0000-0100-000037000000}" name="label55"/>
    <tableColumn id="56" xr3:uid="{00000000-0010-0000-0100-000038000000}" name="label56"/>
    <tableColumn id="57" xr3:uid="{00000000-0010-0000-0100-000039000000}" name="label57"/>
    <tableColumn id="58" xr3:uid="{00000000-0010-0000-0100-00003A000000}" name="label58"/>
    <tableColumn id="59" xr3:uid="{00000000-0010-0000-0100-00003B000000}" name="label59"/>
    <tableColumn id="60" xr3:uid="{00000000-0010-0000-0100-00003C000000}" name="label60"/>
    <tableColumn id="61" xr3:uid="{00000000-0010-0000-0100-00003D000000}" name="label61"/>
    <tableColumn id="62" xr3:uid="{00000000-0010-0000-0100-00003E000000}" name="label62"/>
    <tableColumn id="63" xr3:uid="{00000000-0010-0000-0100-00003F000000}" name="label63"/>
    <tableColumn id="64" xr3:uid="{00000000-0010-0000-0100-000040000000}" name="label64"/>
    <tableColumn id="65" xr3:uid="{00000000-0010-0000-0100-000041000000}" name="label65"/>
    <tableColumn id="66" xr3:uid="{00000000-0010-0000-0100-000042000000}" name="label66"/>
    <tableColumn id="67" xr3:uid="{00000000-0010-0000-0100-000043000000}" name="label67"/>
    <tableColumn id="68" xr3:uid="{00000000-0010-0000-0100-000044000000}" name="label68"/>
    <tableColumn id="69" xr3:uid="{00000000-0010-0000-0100-000045000000}" name="label69"/>
    <tableColumn id="70" xr3:uid="{00000000-0010-0000-0100-000046000000}" name="label70"/>
    <tableColumn id="71" xr3:uid="{00000000-0010-0000-0100-000047000000}" name="label71"/>
    <tableColumn id="72" xr3:uid="{00000000-0010-0000-0100-000048000000}" name="label72"/>
    <tableColumn id="73" xr3:uid="{00000000-0010-0000-0100-000049000000}" name="label73"/>
    <tableColumn id="74" xr3:uid="{00000000-0010-0000-0100-00004A000000}" name="label74"/>
    <tableColumn id="75" xr3:uid="{00000000-0010-0000-0100-00004B000000}" name="label75"/>
    <tableColumn id="76" xr3:uid="{00000000-0010-0000-0100-00004C000000}" name="label76"/>
    <tableColumn id="77" xr3:uid="{00000000-0010-0000-0100-00004D000000}" name="label77"/>
    <tableColumn id="78" xr3:uid="{00000000-0010-0000-0100-00004E000000}" name="label78"/>
    <tableColumn id="79" xr3:uid="{00000000-0010-0000-0100-00004F000000}" name="label79"/>
    <tableColumn id="80" xr3:uid="{00000000-0010-0000-0100-000050000000}" name="label80"/>
    <tableColumn id="81" xr3:uid="{00000000-0010-0000-0100-000051000000}" name="label81"/>
    <tableColumn id="82" xr3:uid="{00000000-0010-0000-0100-000052000000}" name="label82"/>
    <tableColumn id="83" xr3:uid="{00000000-0010-0000-0100-000053000000}" name="label83"/>
    <tableColumn id="84" xr3:uid="{00000000-0010-0000-0100-000054000000}" name="label84"/>
    <tableColumn id="85" xr3:uid="{00000000-0010-0000-0100-000055000000}" name="label85"/>
    <tableColumn id="86" xr3:uid="{00000000-0010-0000-0100-000056000000}" name="label86"/>
    <tableColumn id="87" xr3:uid="{00000000-0010-0000-0100-000057000000}" name="label87"/>
    <tableColumn id="88" xr3:uid="{00000000-0010-0000-0100-000058000000}" name="label88"/>
    <tableColumn id="89" xr3:uid="{00000000-0010-0000-0100-000059000000}" name="label89"/>
    <tableColumn id="90" xr3:uid="{00000000-0010-0000-0100-00005A000000}" name="label90"/>
    <tableColumn id="91" xr3:uid="{00000000-0010-0000-0100-00005B000000}" name="label91"/>
    <tableColumn id="92" xr3:uid="{00000000-0010-0000-0100-00005C000000}" name="label92"/>
    <tableColumn id="93" xr3:uid="{00000000-0010-0000-0100-00005D000000}" name="label93"/>
    <tableColumn id="94" xr3:uid="{00000000-0010-0000-0100-00005E000000}" name="label94"/>
    <tableColumn id="95" xr3:uid="{00000000-0010-0000-0100-00005F000000}" name="label95"/>
    <tableColumn id="96" xr3:uid="{00000000-0010-0000-0100-000060000000}" name="label96"/>
    <tableColumn id="97" xr3:uid="{00000000-0010-0000-0100-000061000000}" name="label97"/>
    <tableColumn id="98" xr3:uid="{00000000-0010-0000-0100-000062000000}" name="label98"/>
    <tableColumn id="99" xr3:uid="{00000000-0010-0000-0100-000063000000}" name="label99"/>
    <tableColumn id="100" xr3:uid="{00000000-0010-0000-0100-000064000000}" name="label100"/>
    <tableColumn id="101" xr3:uid="{00000000-0010-0000-0100-000065000000}" name="label101"/>
    <tableColumn id="102" xr3:uid="{00000000-0010-0000-0100-000066000000}" name="label102"/>
    <tableColumn id="103" xr3:uid="{00000000-0010-0000-0100-000067000000}" name="label103"/>
    <tableColumn id="104" xr3:uid="{00000000-0010-0000-0100-000068000000}" name="label104"/>
    <tableColumn id="105" xr3:uid="{00000000-0010-0000-0100-000069000000}" name="label105"/>
    <tableColumn id="106" xr3:uid="{00000000-0010-0000-0100-00006A000000}" name="label106"/>
    <tableColumn id="107" xr3:uid="{00000000-0010-0000-0100-00006B000000}" name="label107"/>
    <tableColumn id="108" xr3:uid="{00000000-0010-0000-0100-00006C000000}" name="label108"/>
    <tableColumn id="109" xr3:uid="{00000000-0010-0000-0100-00006D000000}" name="label109"/>
    <tableColumn id="110" xr3:uid="{00000000-0010-0000-0100-00006E000000}" name="label110"/>
    <tableColumn id="111" xr3:uid="{00000000-0010-0000-0100-00006F000000}" name="label111"/>
    <tableColumn id="112" xr3:uid="{00000000-0010-0000-0100-000070000000}" name="label112"/>
    <tableColumn id="113" xr3:uid="{00000000-0010-0000-0100-000071000000}" name="label113"/>
    <tableColumn id="114" xr3:uid="{00000000-0010-0000-0100-000072000000}" name="label114"/>
    <tableColumn id="115" xr3:uid="{00000000-0010-0000-0100-000073000000}" name="label115"/>
    <tableColumn id="116" xr3:uid="{00000000-0010-0000-0100-000074000000}" name="label116"/>
    <tableColumn id="117" xr3:uid="{00000000-0010-0000-0100-000075000000}" name="label117"/>
    <tableColumn id="118" xr3:uid="{00000000-0010-0000-0100-000076000000}" name="label118"/>
    <tableColumn id="119" xr3:uid="{00000000-0010-0000-0100-000077000000}" name="label119"/>
    <tableColumn id="120" xr3:uid="{00000000-0010-0000-0100-000078000000}" name="label120"/>
    <tableColumn id="121" xr3:uid="{00000000-0010-0000-0100-000079000000}" name="label121"/>
    <tableColumn id="122" xr3:uid="{00000000-0010-0000-0100-00007A000000}" name="label122"/>
    <tableColumn id="123" xr3:uid="{00000000-0010-0000-0100-00007B000000}" name="label123"/>
    <tableColumn id="124" xr3:uid="{00000000-0010-0000-0100-00007C000000}" name="label124"/>
    <tableColumn id="125" xr3:uid="{00000000-0010-0000-0100-00007D000000}" name="label125"/>
    <tableColumn id="126" xr3:uid="{00000000-0010-0000-0100-00007E000000}" name="label126"/>
    <tableColumn id="127" xr3:uid="{00000000-0010-0000-0100-00007F000000}" name="label127"/>
    <tableColumn id="128" xr3:uid="{00000000-0010-0000-0100-000080000000}" name="label128"/>
    <tableColumn id="129" xr3:uid="{00000000-0010-0000-0100-000081000000}" name="label129"/>
    <tableColumn id="130" xr3:uid="{00000000-0010-0000-0100-000082000000}" name="label130"/>
    <tableColumn id="131" xr3:uid="{00000000-0010-0000-0100-000083000000}" name="label131"/>
    <tableColumn id="132" xr3:uid="{00000000-0010-0000-0100-000084000000}" name="label132"/>
    <tableColumn id="133" xr3:uid="{00000000-0010-0000-0100-000085000000}" name="label133"/>
    <tableColumn id="134" xr3:uid="{00000000-0010-0000-0100-000086000000}" name="label134"/>
    <tableColumn id="135" xr3:uid="{00000000-0010-0000-0100-000087000000}" name="label135"/>
    <tableColumn id="136" xr3:uid="{00000000-0010-0000-0100-000088000000}" name="label136"/>
    <tableColumn id="137" xr3:uid="{00000000-0010-0000-0100-000089000000}" name="label137"/>
    <tableColumn id="138" xr3:uid="{00000000-0010-0000-0100-00008A000000}" name="label138"/>
    <tableColumn id="139" xr3:uid="{00000000-0010-0000-0100-00008B000000}" name="label139"/>
    <tableColumn id="140" xr3:uid="{00000000-0010-0000-0100-00008C000000}" name="label140"/>
    <tableColumn id="141" xr3:uid="{00000000-0010-0000-0100-00008D000000}" name="label141"/>
    <tableColumn id="142" xr3:uid="{00000000-0010-0000-0100-00008E000000}" name="label142"/>
    <tableColumn id="143" xr3:uid="{00000000-0010-0000-0100-00008F000000}" name="label143"/>
    <tableColumn id="144" xr3:uid="{00000000-0010-0000-0100-000090000000}" name="label144"/>
    <tableColumn id="145" xr3:uid="{00000000-0010-0000-0100-000091000000}" name="label145"/>
    <tableColumn id="146" xr3:uid="{00000000-0010-0000-0100-000092000000}" name="label146"/>
    <tableColumn id="147" xr3:uid="{00000000-0010-0000-0100-000093000000}" name="label147"/>
    <tableColumn id="148" xr3:uid="{00000000-0010-0000-0100-000094000000}" name="label148"/>
    <tableColumn id="149" xr3:uid="{00000000-0010-0000-0100-000095000000}" name="label149"/>
    <tableColumn id="150" xr3:uid="{00000000-0010-0000-0100-000096000000}" name="label150"/>
    <tableColumn id="151" xr3:uid="{00000000-0010-0000-0100-000097000000}" name="label151"/>
    <tableColumn id="152" xr3:uid="{00000000-0010-0000-0100-000098000000}" name="label152"/>
    <tableColumn id="153" xr3:uid="{00000000-0010-0000-0100-000099000000}" name="label153"/>
    <tableColumn id="154" xr3:uid="{00000000-0010-0000-0100-00009A000000}" name="label154"/>
    <tableColumn id="155" xr3:uid="{00000000-0010-0000-0100-00009B000000}" name="label155"/>
    <tableColumn id="156" xr3:uid="{00000000-0010-0000-0100-00009C000000}" name="label156"/>
    <tableColumn id="157" xr3:uid="{00000000-0010-0000-0100-00009D000000}" name="label157"/>
    <tableColumn id="158" xr3:uid="{00000000-0010-0000-0100-00009E000000}" name="label158"/>
    <tableColumn id="159" xr3:uid="{00000000-0010-0000-0100-00009F000000}" name="label159"/>
    <tableColumn id="160" xr3:uid="{00000000-0010-0000-0100-0000A0000000}" name="label160"/>
    <tableColumn id="161" xr3:uid="{00000000-0010-0000-0100-0000A1000000}" name="label161"/>
    <tableColumn id="162" xr3:uid="{00000000-0010-0000-0100-0000A2000000}" name="label162"/>
    <tableColumn id="163" xr3:uid="{00000000-0010-0000-0100-0000A3000000}" name="label163"/>
    <tableColumn id="164" xr3:uid="{00000000-0010-0000-0100-0000A4000000}" name="label164"/>
    <tableColumn id="165" xr3:uid="{00000000-0010-0000-0100-0000A5000000}" name="label165"/>
    <tableColumn id="166" xr3:uid="{00000000-0010-0000-0100-0000A6000000}" name="label166"/>
    <tableColumn id="167" xr3:uid="{00000000-0010-0000-0100-0000A7000000}" name="label167"/>
    <tableColumn id="168" xr3:uid="{00000000-0010-0000-0100-0000A8000000}" name="label168"/>
    <tableColumn id="169" xr3:uid="{00000000-0010-0000-0100-0000A9000000}" name="label169"/>
    <tableColumn id="170" xr3:uid="{00000000-0010-0000-0100-0000AA000000}" name="label170"/>
    <tableColumn id="171" xr3:uid="{00000000-0010-0000-0100-0000AB000000}" name="label171"/>
    <tableColumn id="172" xr3:uid="{00000000-0010-0000-0100-0000AC000000}" name="label172"/>
    <tableColumn id="173" xr3:uid="{00000000-0010-0000-0100-0000AD000000}" name="label173"/>
    <tableColumn id="174" xr3:uid="{00000000-0010-0000-0100-0000AE000000}" name="label174"/>
    <tableColumn id="175" xr3:uid="{00000000-0010-0000-0100-0000AF000000}" name="label175"/>
    <tableColumn id="176" xr3:uid="{00000000-0010-0000-0100-0000B0000000}" name="label176"/>
    <tableColumn id="177" xr3:uid="{00000000-0010-0000-0100-0000B1000000}" name="label177"/>
    <tableColumn id="178" xr3:uid="{00000000-0010-0000-0100-0000B2000000}" name="label178"/>
    <tableColumn id="179" xr3:uid="{00000000-0010-0000-0100-0000B3000000}" name="label179"/>
    <tableColumn id="180" xr3:uid="{00000000-0010-0000-0100-0000B4000000}" name="label180"/>
    <tableColumn id="181" xr3:uid="{00000000-0010-0000-0100-0000B5000000}" name="label181"/>
    <tableColumn id="182" xr3:uid="{00000000-0010-0000-0100-0000B6000000}" name="label182"/>
    <tableColumn id="183" xr3:uid="{00000000-0010-0000-0100-0000B7000000}" name="label183"/>
    <tableColumn id="184" xr3:uid="{00000000-0010-0000-0100-0000B8000000}" name="label184"/>
    <tableColumn id="185" xr3:uid="{00000000-0010-0000-0100-0000B9000000}" name="label185"/>
    <tableColumn id="186" xr3:uid="{00000000-0010-0000-0100-0000BA000000}" name="label186"/>
    <tableColumn id="187" xr3:uid="{00000000-0010-0000-0100-0000BB000000}" name="label187"/>
    <tableColumn id="188" xr3:uid="{00000000-0010-0000-0100-0000BC000000}" name="label188"/>
    <tableColumn id="189" xr3:uid="{00000000-0010-0000-0100-0000BD000000}" name="label189"/>
    <tableColumn id="190" xr3:uid="{00000000-0010-0000-0100-0000BE000000}" name="label190"/>
    <tableColumn id="191" xr3:uid="{00000000-0010-0000-0100-0000BF000000}" name="label191"/>
    <tableColumn id="192" xr3:uid="{00000000-0010-0000-0100-0000C0000000}" name="label192"/>
    <tableColumn id="193" xr3:uid="{00000000-0010-0000-0100-0000C1000000}" name="label193"/>
    <tableColumn id="194" xr3:uid="{00000000-0010-0000-0100-0000C2000000}" name="label194"/>
    <tableColumn id="195" xr3:uid="{00000000-0010-0000-0100-0000C3000000}" name="label195"/>
    <tableColumn id="196" xr3:uid="{00000000-0010-0000-0100-0000C4000000}" name="label196"/>
    <tableColumn id="197" xr3:uid="{00000000-0010-0000-0100-0000C5000000}" name="label197"/>
    <tableColumn id="198" xr3:uid="{00000000-0010-0000-0100-0000C6000000}" name="label198"/>
    <tableColumn id="199" xr3:uid="{00000000-0010-0000-0100-0000C7000000}" name="label199"/>
    <tableColumn id="200" xr3:uid="{00000000-0010-0000-0100-0000C8000000}" name="label200"/>
    <tableColumn id="201" xr3:uid="{00000000-0010-0000-0100-0000C9000000}" name="label201"/>
    <tableColumn id="202" xr3:uid="{00000000-0010-0000-0100-0000CA000000}" name="label202"/>
    <tableColumn id="203" xr3:uid="{00000000-0010-0000-0100-0000CB000000}" name="label203"/>
    <tableColumn id="204" xr3:uid="{00000000-0010-0000-0100-0000CC000000}" name="label204"/>
    <tableColumn id="205" xr3:uid="{00000000-0010-0000-0100-0000CD000000}" name="label205"/>
    <tableColumn id="206" xr3:uid="{00000000-0010-0000-0100-0000CE000000}" name="label206"/>
    <tableColumn id="207" xr3:uid="{00000000-0010-0000-0100-0000CF000000}" name="label207"/>
    <tableColumn id="208" xr3:uid="{00000000-0010-0000-0100-0000D0000000}" name="label208"/>
    <tableColumn id="209" xr3:uid="{00000000-0010-0000-0100-0000D1000000}" name="label209"/>
    <tableColumn id="210" xr3:uid="{00000000-0010-0000-0100-0000D2000000}" name="label210"/>
    <tableColumn id="211" xr3:uid="{00000000-0010-0000-0100-0000D3000000}" name="label211"/>
    <tableColumn id="212" xr3:uid="{00000000-0010-0000-0100-0000D4000000}" name="label212"/>
    <tableColumn id="213" xr3:uid="{00000000-0010-0000-0100-0000D5000000}" name="label213"/>
    <tableColumn id="214" xr3:uid="{00000000-0010-0000-0100-0000D6000000}" name="label214"/>
    <tableColumn id="215" xr3:uid="{00000000-0010-0000-0100-0000D7000000}" name="label215"/>
    <tableColumn id="216" xr3:uid="{00000000-0010-0000-0100-0000D8000000}" name="label216"/>
    <tableColumn id="217" xr3:uid="{00000000-0010-0000-0100-0000D9000000}" name="label217"/>
    <tableColumn id="218" xr3:uid="{00000000-0010-0000-0100-0000DA000000}" name="label218"/>
    <tableColumn id="219" xr3:uid="{00000000-0010-0000-0100-0000DB000000}" name="label219"/>
    <tableColumn id="220" xr3:uid="{00000000-0010-0000-0100-0000DC000000}" name="label220"/>
    <tableColumn id="221" xr3:uid="{00000000-0010-0000-0100-0000DD000000}" name="label221"/>
    <tableColumn id="222" xr3:uid="{00000000-0010-0000-0100-0000DE000000}" name="label222"/>
    <tableColumn id="223" xr3:uid="{00000000-0010-0000-0100-0000DF000000}" name="label223"/>
    <tableColumn id="224" xr3:uid="{00000000-0010-0000-0100-0000E0000000}" name="label224"/>
    <tableColumn id="225" xr3:uid="{00000000-0010-0000-0100-0000E1000000}" name="label225"/>
    <tableColumn id="226" xr3:uid="{00000000-0010-0000-0100-0000E2000000}" name="label226"/>
    <tableColumn id="227" xr3:uid="{00000000-0010-0000-0100-0000E3000000}" name="label227"/>
    <tableColumn id="228" xr3:uid="{00000000-0010-0000-0100-0000E4000000}" name="label228"/>
    <tableColumn id="229" xr3:uid="{00000000-0010-0000-0100-0000E5000000}" name="label229"/>
  </tableColumns>
  <tableStyleInfo name="s_table2"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table3" displayName="t_table3" ref="A2:CG102">
  <autoFilter ref="A2:CG102" xr:uid="{00000000-0009-0000-0100-000003000000}"/>
  <tableColumns count="85">
    <tableColumn id="1" xr3:uid="{00000000-0010-0000-0200-000001000000}" name="label1"/>
    <tableColumn id="2" xr3:uid="{00000000-0010-0000-0200-000002000000}" name="label2"/>
    <tableColumn id="3" xr3:uid="{00000000-0010-0000-0200-000003000000}" name="label3"/>
    <tableColumn id="4" xr3:uid="{00000000-0010-0000-0200-000004000000}" name="label4"/>
    <tableColumn id="5" xr3:uid="{00000000-0010-0000-0200-000005000000}" name="label5"/>
    <tableColumn id="6" xr3:uid="{00000000-0010-0000-0200-000006000000}" name="label6"/>
    <tableColumn id="7" xr3:uid="{00000000-0010-0000-0200-000007000000}" name="label7"/>
    <tableColumn id="8" xr3:uid="{00000000-0010-0000-0200-000008000000}" name="label8"/>
    <tableColumn id="9" xr3:uid="{00000000-0010-0000-0200-000009000000}" name="label9"/>
    <tableColumn id="10" xr3:uid="{00000000-0010-0000-0200-00000A000000}" name="label10"/>
    <tableColumn id="11" xr3:uid="{00000000-0010-0000-0200-00000B000000}" name="label11"/>
    <tableColumn id="12" xr3:uid="{00000000-0010-0000-0200-00000C000000}" name="label12"/>
    <tableColumn id="13" xr3:uid="{00000000-0010-0000-0200-00000D000000}" name="label13"/>
    <tableColumn id="14" xr3:uid="{00000000-0010-0000-0200-00000E000000}" name="label14"/>
    <tableColumn id="15" xr3:uid="{00000000-0010-0000-0200-00000F000000}" name="label15"/>
    <tableColumn id="16" xr3:uid="{00000000-0010-0000-0200-000010000000}" name="label16"/>
    <tableColumn id="17" xr3:uid="{00000000-0010-0000-0200-000011000000}" name="label17"/>
    <tableColumn id="18" xr3:uid="{00000000-0010-0000-0200-000012000000}" name="label18"/>
    <tableColumn id="19" xr3:uid="{00000000-0010-0000-0200-000013000000}" name="label19"/>
    <tableColumn id="20" xr3:uid="{00000000-0010-0000-0200-000014000000}" name="label20"/>
    <tableColumn id="21" xr3:uid="{00000000-0010-0000-0200-000015000000}" name="label21"/>
    <tableColumn id="22" xr3:uid="{00000000-0010-0000-0200-000016000000}" name="label22"/>
    <tableColumn id="23" xr3:uid="{00000000-0010-0000-0200-000017000000}" name="label23"/>
    <tableColumn id="24" xr3:uid="{00000000-0010-0000-0200-000018000000}" name="label24"/>
    <tableColumn id="25" xr3:uid="{00000000-0010-0000-0200-000019000000}" name="label25"/>
    <tableColumn id="26" xr3:uid="{00000000-0010-0000-0200-00001A000000}" name="label26"/>
    <tableColumn id="27" xr3:uid="{00000000-0010-0000-0200-00001B000000}" name="label27"/>
    <tableColumn id="28" xr3:uid="{00000000-0010-0000-0200-00001C000000}" name="label28"/>
    <tableColumn id="29" xr3:uid="{00000000-0010-0000-0200-00001D000000}" name="label29"/>
    <tableColumn id="30" xr3:uid="{00000000-0010-0000-0200-00001E000000}" name="label30"/>
    <tableColumn id="31" xr3:uid="{00000000-0010-0000-0200-00001F000000}" name="label31"/>
    <tableColumn id="32" xr3:uid="{00000000-0010-0000-0200-000020000000}" name="label32"/>
    <tableColumn id="33" xr3:uid="{00000000-0010-0000-0200-000021000000}" name="label33"/>
    <tableColumn id="34" xr3:uid="{00000000-0010-0000-0200-000022000000}" name="label34"/>
    <tableColumn id="35" xr3:uid="{00000000-0010-0000-0200-000023000000}" name="label35"/>
    <tableColumn id="36" xr3:uid="{00000000-0010-0000-0200-000024000000}" name="label36"/>
    <tableColumn id="37" xr3:uid="{00000000-0010-0000-0200-000025000000}" name="label37"/>
    <tableColumn id="38" xr3:uid="{00000000-0010-0000-0200-000026000000}" name="label38"/>
    <tableColumn id="39" xr3:uid="{00000000-0010-0000-0200-000027000000}" name="label39"/>
    <tableColumn id="40" xr3:uid="{00000000-0010-0000-0200-000028000000}" name="label40"/>
    <tableColumn id="41" xr3:uid="{00000000-0010-0000-0200-000029000000}" name="label41"/>
    <tableColumn id="42" xr3:uid="{00000000-0010-0000-0200-00002A000000}" name="label42"/>
    <tableColumn id="43" xr3:uid="{00000000-0010-0000-0200-00002B000000}" name="label43"/>
    <tableColumn id="44" xr3:uid="{00000000-0010-0000-0200-00002C000000}" name="label44"/>
    <tableColumn id="45" xr3:uid="{00000000-0010-0000-0200-00002D000000}" name="label45"/>
    <tableColumn id="46" xr3:uid="{00000000-0010-0000-0200-00002E000000}" name="label46"/>
    <tableColumn id="47" xr3:uid="{00000000-0010-0000-0200-00002F000000}" name="label47"/>
    <tableColumn id="48" xr3:uid="{00000000-0010-0000-0200-000030000000}" name="label48"/>
    <tableColumn id="49" xr3:uid="{00000000-0010-0000-0200-000031000000}" name="label49"/>
    <tableColumn id="50" xr3:uid="{00000000-0010-0000-0200-000032000000}" name="label50"/>
    <tableColumn id="51" xr3:uid="{00000000-0010-0000-0200-000033000000}" name="label51"/>
    <tableColumn id="52" xr3:uid="{00000000-0010-0000-0200-000034000000}" name="label52"/>
    <tableColumn id="53" xr3:uid="{00000000-0010-0000-0200-000035000000}" name="label53"/>
    <tableColumn id="54" xr3:uid="{00000000-0010-0000-0200-000036000000}" name="label54"/>
    <tableColumn id="55" xr3:uid="{00000000-0010-0000-0200-000037000000}" name="label55"/>
    <tableColumn id="56" xr3:uid="{00000000-0010-0000-0200-000038000000}" name="label56"/>
    <tableColumn id="57" xr3:uid="{00000000-0010-0000-0200-000039000000}" name="label57"/>
    <tableColumn id="58" xr3:uid="{00000000-0010-0000-0200-00003A000000}" name="label58"/>
    <tableColumn id="59" xr3:uid="{00000000-0010-0000-0200-00003B000000}" name="label59"/>
    <tableColumn id="60" xr3:uid="{00000000-0010-0000-0200-00003C000000}" name="label60"/>
    <tableColumn id="61" xr3:uid="{00000000-0010-0000-0200-00003D000000}" name="label61"/>
    <tableColumn id="62" xr3:uid="{00000000-0010-0000-0200-00003E000000}" name="label62"/>
    <tableColumn id="63" xr3:uid="{00000000-0010-0000-0200-00003F000000}" name="label63"/>
    <tableColumn id="64" xr3:uid="{00000000-0010-0000-0200-000040000000}" name="label64"/>
    <tableColumn id="65" xr3:uid="{00000000-0010-0000-0200-000041000000}" name="label65"/>
    <tableColumn id="66" xr3:uid="{00000000-0010-0000-0200-000042000000}" name="label66"/>
    <tableColumn id="67" xr3:uid="{00000000-0010-0000-0200-000043000000}" name="label67"/>
    <tableColumn id="68" xr3:uid="{00000000-0010-0000-0200-000044000000}" name="label68"/>
    <tableColumn id="69" xr3:uid="{00000000-0010-0000-0200-000045000000}" name="label69"/>
    <tableColumn id="70" xr3:uid="{00000000-0010-0000-0200-000046000000}" name="label70"/>
    <tableColumn id="71" xr3:uid="{00000000-0010-0000-0200-000047000000}" name="label71"/>
    <tableColumn id="72" xr3:uid="{00000000-0010-0000-0200-000048000000}" name="label72"/>
    <tableColumn id="73" xr3:uid="{00000000-0010-0000-0200-000049000000}" name="label73"/>
    <tableColumn id="74" xr3:uid="{00000000-0010-0000-0200-00004A000000}" name="label74"/>
    <tableColumn id="75" xr3:uid="{00000000-0010-0000-0200-00004B000000}" name="label75"/>
    <tableColumn id="76" xr3:uid="{00000000-0010-0000-0200-00004C000000}" name="label76"/>
    <tableColumn id="77" xr3:uid="{00000000-0010-0000-0200-00004D000000}" name="label77"/>
    <tableColumn id="78" xr3:uid="{00000000-0010-0000-0200-00004E000000}" name="label78"/>
    <tableColumn id="79" xr3:uid="{00000000-0010-0000-0200-00004F000000}" name="label79"/>
    <tableColumn id="80" xr3:uid="{00000000-0010-0000-0200-000050000000}" name="label80"/>
    <tableColumn id="81" xr3:uid="{00000000-0010-0000-0200-000051000000}" name="label81"/>
    <tableColumn id="82" xr3:uid="{00000000-0010-0000-0200-000052000000}" name="label82"/>
    <tableColumn id="83" xr3:uid="{00000000-0010-0000-0200-000053000000}" name="label83"/>
    <tableColumn id="84" xr3:uid="{00000000-0010-0000-0200-000054000000}" name="label84"/>
    <tableColumn id="85" xr3:uid="{00000000-0010-0000-0200-000055000000}" name="label85"/>
  </tableColumns>
  <tableStyleInfo name="s_table4"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yaonasu.blogspot.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showGridLines="0" tabSelected="1" workbookViewId="0">
      <selection activeCell="H27" sqref="H27"/>
    </sheetView>
  </sheetViews>
  <sheetFormatPr defaultRowHeight="13.5" x14ac:dyDescent="0.15"/>
  <cols>
    <col min="1" max="2" width="3" customWidth="1"/>
    <col min="3" max="3" width="15" customWidth="1"/>
    <col min="8" max="8" width="30" customWidth="1"/>
  </cols>
  <sheetData>
    <row r="1" spans="1:11" ht="25.5" x14ac:dyDescent="0.25">
      <c r="A1" s="1" t="s">
        <v>0</v>
      </c>
    </row>
    <row r="2" spans="1:11" x14ac:dyDescent="0.15">
      <c r="I2" s="2" t="s">
        <v>1</v>
      </c>
      <c r="J2" s="2" t="s">
        <v>2</v>
      </c>
      <c r="K2" s="2" t="s">
        <v>3</v>
      </c>
    </row>
    <row r="3" spans="1:11" x14ac:dyDescent="0.15">
      <c r="B3" t="s">
        <v>4</v>
      </c>
      <c r="I3" s="3"/>
      <c r="J3" s="3"/>
      <c r="K3" s="3"/>
    </row>
    <row r="4" spans="1:11" x14ac:dyDescent="0.15">
      <c r="I4" s="4"/>
      <c r="J4" s="4"/>
      <c r="K4" s="4"/>
    </row>
    <row r="5" spans="1:11" x14ac:dyDescent="0.15">
      <c r="C5" t="s">
        <v>577</v>
      </c>
    </row>
    <row r="6" spans="1:11" x14ac:dyDescent="0.15">
      <c r="C6" t="s">
        <v>578</v>
      </c>
    </row>
    <row r="8" spans="1:11" x14ac:dyDescent="0.15">
      <c r="B8" t="s">
        <v>5</v>
      </c>
    </row>
    <row r="10" spans="1:11" x14ac:dyDescent="0.15">
      <c r="C10" t="s">
        <v>6</v>
      </c>
    </row>
    <row r="11" spans="1:11" x14ac:dyDescent="0.15">
      <c r="C11" t="s">
        <v>7</v>
      </c>
    </row>
    <row r="12" spans="1:11" x14ac:dyDescent="0.15">
      <c r="C12" t="s">
        <v>8</v>
      </c>
    </row>
    <row r="13" spans="1:11" x14ac:dyDescent="0.15">
      <c r="C13" t="s">
        <v>9</v>
      </c>
    </row>
    <row r="14" spans="1:11" x14ac:dyDescent="0.15">
      <c r="C14" t="s">
        <v>10</v>
      </c>
    </row>
    <row r="19" spans="2:10" x14ac:dyDescent="0.15">
      <c r="B19" t="s">
        <v>11</v>
      </c>
    </row>
    <row r="21" spans="2:10" x14ac:dyDescent="0.15">
      <c r="C21" s="5" t="s">
        <v>12</v>
      </c>
      <c r="D21" s="5" t="s">
        <v>13</v>
      </c>
      <c r="E21" s="5" t="s">
        <v>14</v>
      </c>
      <c r="F21" s="5" t="s">
        <v>15</v>
      </c>
      <c r="G21" s="5" t="s">
        <v>16</v>
      </c>
      <c r="H21" s="5" t="s">
        <v>17</v>
      </c>
      <c r="I21" s="5" t="s">
        <v>1</v>
      </c>
      <c r="J21" s="5" t="s">
        <v>2</v>
      </c>
    </row>
    <row r="22" spans="2:10" ht="14.25" x14ac:dyDescent="0.15">
      <c r="C22" s="6" t="s">
        <v>18</v>
      </c>
      <c r="D22" s="5" t="s">
        <v>19</v>
      </c>
      <c r="E22" s="5" t="s">
        <v>19</v>
      </c>
      <c r="F22" s="5" t="str">
        <f>IF(G22 &lt;&gt; 0, "あり", "なし")</f>
        <v>あり</v>
      </c>
      <c r="G22" s="5">
        <f>COUNTIF('ii-path-maker'!F:F, "x")</f>
        <v>6</v>
      </c>
      <c r="H22" s="5"/>
      <c r="I22" s="5" t="str">
        <f>IF(SUMPRODUCT(('ii-path-maker'!F:F="x")*('ii-path-maker'!D:D&lt;&gt;""))=G22, "OK", "NG")</f>
        <v>NG</v>
      </c>
      <c r="J22" s="5" t="str">
        <f>IF(SUMPRODUCT(('ii-path-maker'!F:F="x")*('ii-path-maker'!E:E&lt;&gt;""))=G22, "OK", "NG")</f>
        <v>NG</v>
      </c>
    </row>
    <row r="23" spans="2:10" ht="14.25" x14ac:dyDescent="0.15">
      <c r="C23" s="6" t="s">
        <v>20</v>
      </c>
      <c r="D23" s="5" t="s">
        <v>19</v>
      </c>
      <c r="E23" s="5" t="s">
        <v>19</v>
      </c>
      <c r="F23" s="5" t="str">
        <f>IF(G23 &lt;&gt; 0, "あり", "なし")</f>
        <v>なし</v>
      </c>
      <c r="G23" s="5">
        <f>COUNTIF('ごみ settings'!F:F, "x")</f>
        <v>0</v>
      </c>
      <c r="H23" s="5"/>
      <c r="I23" s="5" t="str">
        <f>IF(SUMPRODUCT(('ごみ settings'!F:F="x")*('ごみ settings'!D:D&lt;&gt;""))=G23, "OK", "NG")</f>
        <v>OK</v>
      </c>
      <c r="J23" s="5" t="str">
        <f>IF(SUMPRODUCT(('ごみ settings'!F:F="x")*('ごみ settings'!E:E&lt;&gt;""))=G23, "OK", "NG")</f>
        <v>OK</v>
      </c>
    </row>
    <row r="25" spans="2:10" x14ac:dyDescent="0.15">
      <c r="B25" t="s">
        <v>21</v>
      </c>
    </row>
    <row r="27" spans="2:10" x14ac:dyDescent="0.15">
      <c r="B27" t="s">
        <v>22</v>
      </c>
    </row>
    <row r="28" spans="2:10" x14ac:dyDescent="0.15">
      <c r="B28" t="s">
        <v>23</v>
      </c>
    </row>
    <row r="29" spans="2:10" x14ac:dyDescent="0.15">
      <c r="B29" t="s">
        <v>24</v>
      </c>
    </row>
    <row r="30" spans="2:10" x14ac:dyDescent="0.15">
      <c r="B30" t="s">
        <v>25</v>
      </c>
    </row>
    <row r="31" spans="2:10" x14ac:dyDescent="0.15">
      <c r="B31" t="s">
        <v>26</v>
      </c>
    </row>
    <row r="32" spans="2:10" x14ac:dyDescent="0.15">
      <c r="B32" t="s">
        <v>27</v>
      </c>
    </row>
    <row r="33" spans="2:2" x14ac:dyDescent="0.15">
      <c r="B33" t="s">
        <v>28</v>
      </c>
    </row>
    <row r="34" spans="2:2" x14ac:dyDescent="0.15">
      <c r="B34" t="s">
        <v>29</v>
      </c>
    </row>
    <row r="35" spans="2:2" x14ac:dyDescent="0.15">
      <c r="B35" t="s">
        <v>30</v>
      </c>
    </row>
    <row r="36" spans="2:2" x14ac:dyDescent="0.15">
      <c r="B36" t="s">
        <v>31</v>
      </c>
    </row>
    <row r="37" spans="2:2" x14ac:dyDescent="0.15">
      <c r="B37" t="s">
        <v>32</v>
      </c>
    </row>
    <row r="39" spans="2:2" ht="14.25" x14ac:dyDescent="0.15">
      <c r="B39" s="7" t="s">
        <v>33</v>
      </c>
    </row>
  </sheetData>
  <phoneticPr fontId="13"/>
  <hyperlinks>
    <hyperlink ref="C22" location="'ii-path-maker'!A1" display="ii-path-maker" xr:uid="{00000000-0004-0000-0000-000000000000}"/>
    <hyperlink ref="C23" location="'ごみ settings'!A1" display="ごみ settings" xr:uid="{00000000-0004-0000-0000-000001000000}"/>
    <hyperlink ref="B39" r:id="rId1" xr:uid="{00000000-0004-0000-0000-000002000000}"/>
  </hyperlinks>
  <pageMargins left="0.75" right="0.75" top="1" bottom="1" header="0.5" footer="0.5"/>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V81"/>
  <sheetViews>
    <sheetView workbookViewId="0">
      <pane xSplit="13" ySplit="2" topLeftCell="N3" activePane="bottomRight" state="frozen"/>
      <selection pane="topRight"/>
      <selection pane="bottomLeft"/>
      <selection pane="bottomRight" activeCell="AB24" sqref="AB24"/>
    </sheetView>
  </sheetViews>
  <sheetFormatPr defaultRowHeight="13.5" x14ac:dyDescent="0.15"/>
  <cols>
    <col min="1" max="1" width="5" customWidth="1"/>
    <col min="2" max="3" width="13" hidden="1" customWidth="1"/>
    <col min="6" max="6" width="3" customWidth="1"/>
    <col min="7" max="7" width="15" customWidth="1"/>
    <col min="8" max="13" width="13" hidden="1" customWidth="1"/>
    <col min="14" max="14" width="5" customWidth="1"/>
    <col min="15" max="15" width="2.75" customWidth="1"/>
    <col min="16" max="16" width="33.25" customWidth="1"/>
    <col min="17" max="17" width="3.875" customWidth="1"/>
    <col min="18" max="23" width="2.75" customWidth="1"/>
    <col min="24" max="24" width="3.375" customWidth="1"/>
    <col min="25" max="85" width="2.75" customWidth="1"/>
    <col min="86" max="86" width="5" customWidth="1"/>
    <col min="87" max="89" width="2.125" customWidth="1"/>
    <col min="90" max="90" width="3.25" customWidth="1"/>
    <col min="91" max="91" width="19.25" customWidth="1"/>
    <col min="92" max="92" width="3.25" customWidth="1"/>
    <col min="93" max="157" width="2.125" customWidth="1"/>
    <col min="158" max="158" width="5" customWidth="1"/>
    <col min="159" max="159" width="2.75" customWidth="1"/>
    <col min="160" max="160" width="33.25" customWidth="1"/>
    <col min="161" max="161" width="3.875" customWidth="1"/>
    <col min="162" max="167" width="2.75" customWidth="1"/>
    <col min="168" max="168" width="3.375" customWidth="1"/>
    <col min="169" max="229" width="2.75" customWidth="1"/>
    <col min="230" max="230" width="5" customWidth="1"/>
  </cols>
  <sheetData>
    <row r="1" spans="1:230" ht="14.25" x14ac:dyDescent="0.15">
      <c r="A1" s="7" t="s">
        <v>34</v>
      </c>
      <c r="B1" t="s">
        <v>35</v>
      </c>
      <c r="C1" t="s">
        <v>36</v>
      </c>
      <c r="D1" t="s">
        <v>1</v>
      </c>
      <c r="E1" t="s">
        <v>2</v>
      </c>
      <c r="F1" t="s">
        <v>37</v>
      </c>
      <c r="G1" t="s">
        <v>38</v>
      </c>
      <c r="N1" s="8"/>
      <c r="O1" t="s">
        <v>18</v>
      </c>
      <c r="P1" t="s">
        <v>581</v>
      </c>
      <c r="CH1" s="9"/>
      <c r="CI1" t="s">
        <v>18</v>
      </c>
      <c r="CJ1" t="s">
        <v>582</v>
      </c>
      <c r="FB1" s="9"/>
      <c r="FC1" t="s">
        <v>582</v>
      </c>
      <c r="HV1" s="9"/>
    </row>
    <row r="2" spans="1:230" x14ac:dyDescent="0.15">
      <c r="A2" s="8" t="s">
        <v>39</v>
      </c>
      <c r="B2" s="8" t="s">
        <v>40</v>
      </c>
      <c r="C2" s="8" t="s">
        <v>41</v>
      </c>
      <c r="D2" s="8" t="s">
        <v>42</v>
      </c>
      <c r="E2" s="8" t="s">
        <v>43</v>
      </c>
      <c r="F2" s="8" t="s">
        <v>44</v>
      </c>
      <c r="G2" s="8" t="s">
        <v>45</v>
      </c>
      <c r="H2" s="8" t="s">
        <v>46</v>
      </c>
      <c r="I2" s="8" t="s">
        <v>47</v>
      </c>
      <c r="J2" s="8" t="s">
        <v>48</v>
      </c>
      <c r="K2" s="8" t="s">
        <v>49</v>
      </c>
      <c r="L2" s="8" t="s">
        <v>50</v>
      </c>
      <c r="M2" s="8" t="s">
        <v>51</v>
      </c>
      <c r="N2" s="8" t="s">
        <v>52</v>
      </c>
      <c r="O2" s="8" t="s">
        <v>53</v>
      </c>
      <c r="P2" s="8" t="s">
        <v>54</v>
      </c>
      <c r="Q2" s="8" t="s">
        <v>55</v>
      </c>
      <c r="R2" s="8" t="s">
        <v>56</v>
      </c>
      <c r="S2" s="8" t="s">
        <v>57</v>
      </c>
      <c r="T2" s="8" t="s">
        <v>58</v>
      </c>
      <c r="U2" s="8" t="s">
        <v>59</v>
      </c>
      <c r="V2" s="8" t="s">
        <v>60</v>
      </c>
      <c r="W2" s="8" t="s">
        <v>61</v>
      </c>
      <c r="X2" s="8" t="s">
        <v>62</v>
      </c>
      <c r="Y2" s="8" t="s">
        <v>63</v>
      </c>
      <c r="Z2" s="8" t="s">
        <v>64</v>
      </c>
      <c r="AA2" s="8" t="s">
        <v>65</v>
      </c>
      <c r="AB2" s="8" t="s">
        <v>66</v>
      </c>
      <c r="AC2" s="8" t="s">
        <v>67</v>
      </c>
      <c r="AD2" s="8" t="s">
        <v>68</v>
      </c>
      <c r="AE2" s="8" t="s">
        <v>69</v>
      </c>
      <c r="AF2" s="8" t="s">
        <v>70</v>
      </c>
      <c r="AG2" s="8" t="s">
        <v>71</v>
      </c>
      <c r="AH2" s="8" t="s">
        <v>72</v>
      </c>
      <c r="AI2" s="8" t="s">
        <v>73</v>
      </c>
      <c r="AJ2" s="8" t="s">
        <v>74</v>
      </c>
      <c r="AK2" s="8" t="s">
        <v>75</v>
      </c>
      <c r="AL2" s="8" t="s">
        <v>76</v>
      </c>
      <c r="AM2" s="8" t="s">
        <v>77</v>
      </c>
      <c r="AN2" s="8" t="s">
        <v>78</v>
      </c>
      <c r="AO2" s="8" t="s">
        <v>79</v>
      </c>
      <c r="AP2" s="8" t="s">
        <v>80</v>
      </c>
      <c r="AQ2" s="8" t="s">
        <v>81</v>
      </c>
      <c r="AR2" s="8" t="s">
        <v>82</v>
      </c>
      <c r="AS2" s="8" t="s">
        <v>83</v>
      </c>
      <c r="AT2" s="8" t="s">
        <v>84</v>
      </c>
      <c r="AU2" s="8" t="s">
        <v>85</v>
      </c>
      <c r="AV2" s="8" t="s">
        <v>86</v>
      </c>
      <c r="AW2" s="8" t="s">
        <v>87</v>
      </c>
      <c r="AX2" s="8" t="s">
        <v>88</v>
      </c>
      <c r="AY2" s="8" t="s">
        <v>89</v>
      </c>
      <c r="AZ2" s="8" t="s">
        <v>90</v>
      </c>
      <c r="BA2" s="8" t="s">
        <v>91</v>
      </c>
      <c r="BB2" s="8" t="s">
        <v>92</v>
      </c>
      <c r="BC2" s="8" t="s">
        <v>93</v>
      </c>
      <c r="BD2" s="8" t="s">
        <v>94</v>
      </c>
      <c r="BE2" s="8" t="s">
        <v>95</v>
      </c>
      <c r="BF2" s="8" t="s">
        <v>96</v>
      </c>
      <c r="BG2" s="8" t="s">
        <v>97</v>
      </c>
      <c r="BH2" s="8" t="s">
        <v>98</v>
      </c>
      <c r="BI2" s="8" t="s">
        <v>99</v>
      </c>
      <c r="BJ2" s="8" t="s">
        <v>100</v>
      </c>
      <c r="BK2" s="8" t="s">
        <v>101</v>
      </c>
      <c r="BL2" s="8" t="s">
        <v>102</v>
      </c>
      <c r="BM2" s="8" t="s">
        <v>103</v>
      </c>
      <c r="BN2" s="8" t="s">
        <v>104</v>
      </c>
      <c r="BO2" s="8" t="s">
        <v>105</v>
      </c>
      <c r="BP2" s="8" t="s">
        <v>106</v>
      </c>
      <c r="BQ2" s="8" t="s">
        <v>107</v>
      </c>
      <c r="BR2" s="8" t="s">
        <v>108</v>
      </c>
      <c r="BS2" s="8" t="s">
        <v>109</v>
      </c>
      <c r="BT2" s="8" t="s">
        <v>110</v>
      </c>
      <c r="BU2" s="8" t="s">
        <v>111</v>
      </c>
      <c r="BV2" s="8" t="s">
        <v>112</v>
      </c>
      <c r="BW2" s="8" t="s">
        <v>113</v>
      </c>
      <c r="BX2" s="8" t="s">
        <v>114</v>
      </c>
      <c r="BY2" s="8" t="s">
        <v>115</v>
      </c>
      <c r="BZ2" s="8" t="s">
        <v>116</v>
      </c>
      <c r="CA2" s="8" t="s">
        <v>117</v>
      </c>
      <c r="CB2" s="8" t="s">
        <v>118</v>
      </c>
      <c r="CC2" s="8" t="s">
        <v>119</v>
      </c>
      <c r="CD2" s="8" t="s">
        <v>120</v>
      </c>
      <c r="CE2" s="8" t="s">
        <v>121</v>
      </c>
      <c r="CF2" s="8" t="s">
        <v>122</v>
      </c>
      <c r="CG2" s="8" t="s">
        <v>123</v>
      </c>
      <c r="CH2" s="8" t="s">
        <v>124</v>
      </c>
      <c r="CI2" s="8" t="s">
        <v>125</v>
      </c>
      <c r="CJ2" s="8" t="s">
        <v>126</v>
      </c>
      <c r="CK2" s="8" t="s">
        <v>127</v>
      </c>
      <c r="CL2" s="8" t="s">
        <v>128</v>
      </c>
      <c r="CM2" s="8" t="s">
        <v>129</v>
      </c>
      <c r="CN2" s="8" t="s">
        <v>130</v>
      </c>
      <c r="CO2" s="8" t="s">
        <v>131</v>
      </c>
      <c r="CP2" s="8" t="s">
        <v>132</v>
      </c>
      <c r="CQ2" s="8" t="s">
        <v>133</v>
      </c>
      <c r="CR2" s="8" t="s">
        <v>134</v>
      </c>
      <c r="CS2" s="8" t="s">
        <v>135</v>
      </c>
      <c r="CT2" s="8" t="s">
        <v>136</v>
      </c>
      <c r="CU2" s="8" t="s">
        <v>137</v>
      </c>
      <c r="CV2" s="8" t="s">
        <v>138</v>
      </c>
      <c r="CW2" s="8" t="s">
        <v>139</v>
      </c>
      <c r="CX2" s="8" t="s">
        <v>140</v>
      </c>
      <c r="CY2" s="8" t="s">
        <v>141</v>
      </c>
      <c r="CZ2" s="8" t="s">
        <v>142</v>
      </c>
      <c r="DA2" s="8" t="s">
        <v>143</v>
      </c>
      <c r="DB2" s="8" t="s">
        <v>144</v>
      </c>
      <c r="DC2" s="8" t="s">
        <v>145</v>
      </c>
      <c r="DD2" s="8" t="s">
        <v>146</v>
      </c>
      <c r="DE2" s="8" t="s">
        <v>147</v>
      </c>
      <c r="DF2" s="8" t="s">
        <v>148</v>
      </c>
      <c r="DG2" s="8" t="s">
        <v>149</v>
      </c>
      <c r="DH2" s="8" t="s">
        <v>150</v>
      </c>
      <c r="DI2" s="8" t="s">
        <v>151</v>
      </c>
      <c r="DJ2" s="8" t="s">
        <v>152</v>
      </c>
      <c r="DK2" s="8" t="s">
        <v>153</v>
      </c>
      <c r="DL2" s="8" t="s">
        <v>154</v>
      </c>
      <c r="DM2" s="8" t="s">
        <v>155</v>
      </c>
      <c r="DN2" s="8" t="s">
        <v>156</v>
      </c>
      <c r="DO2" s="8" t="s">
        <v>157</v>
      </c>
      <c r="DP2" s="8" t="s">
        <v>158</v>
      </c>
      <c r="DQ2" s="8" t="s">
        <v>159</v>
      </c>
      <c r="DR2" s="8" t="s">
        <v>160</v>
      </c>
      <c r="DS2" s="8" t="s">
        <v>161</v>
      </c>
      <c r="DT2" s="8" t="s">
        <v>162</v>
      </c>
      <c r="DU2" s="8" t="s">
        <v>163</v>
      </c>
      <c r="DV2" s="8" t="s">
        <v>164</v>
      </c>
      <c r="DW2" s="8" t="s">
        <v>165</v>
      </c>
      <c r="DX2" s="8" t="s">
        <v>166</v>
      </c>
      <c r="DY2" s="8" t="s">
        <v>167</v>
      </c>
      <c r="DZ2" s="8" t="s">
        <v>168</v>
      </c>
      <c r="EA2" s="8" t="s">
        <v>169</v>
      </c>
      <c r="EB2" s="8" t="s">
        <v>170</v>
      </c>
      <c r="EC2" s="8" t="s">
        <v>171</v>
      </c>
      <c r="ED2" s="8" t="s">
        <v>172</v>
      </c>
      <c r="EE2" s="8" t="s">
        <v>173</v>
      </c>
      <c r="EF2" s="8" t="s">
        <v>174</v>
      </c>
      <c r="EG2" s="8" t="s">
        <v>175</v>
      </c>
      <c r="EH2" s="8" t="s">
        <v>176</v>
      </c>
      <c r="EI2" s="8" t="s">
        <v>177</v>
      </c>
      <c r="EJ2" s="8" t="s">
        <v>178</v>
      </c>
      <c r="EK2" s="8" t="s">
        <v>179</v>
      </c>
      <c r="EL2" s="8" t="s">
        <v>180</v>
      </c>
      <c r="EM2" s="8" t="s">
        <v>181</v>
      </c>
      <c r="EN2" s="8" t="s">
        <v>182</v>
      </c>
      <c r="EO2" s="8" t="s">
        <v>183</v>
      </c>
      <c r="EP2" s="8" t="s">
        <v>184</v>
      </c>
      <c r="EQ2" s="8" t="s">
        <v>185</v>
      </c>
      <c r="ER2" s="8" t="s">
        <v>186</v>
      </c>
      <c r="ES2" s="8" t="s">
        <v>187</v>
      </c>
      <c r="ET2" s="8" t="s">
        <v>188</v>
      </c>
      <c r="EU2" s="8" t="s">
        <v>189</v>
      </c>
      <c r="EV2" s="8" t="s">
        <v>190</v>
      </c>
      <c r="EW2" s="8" t="s">
        <v>191</v>
      </c>
      <c r="EX2" s="8" t="s">
        <v>192</v>
      </c>
      <c r="EY2" s="8" t="s">
        <v>193</v>
      </c>
      <c r="EZ2" s="8" t="s">
        <v>194</v>
      </c>
      <c r="FA2" s="8" t="s">
        <v>195</v>
      </c>
      <c r="FB2" s="8" t="s">
        <v>196</v>
      </c>
      <c r="FC2" s="8" t="s">
        <v>197</v>
      </c>
      <c r="FD2" s="8" t="s">
        <v>198</v>
      </c>
      <c r="FE2" s="8" t="s">
        <v>199</v>
      </c>
      <c r="FF2" s="8" t="s">
        <v>200</v>
      </c>
      <c r="FG2" s="8" t="s">
        <v>201</v>
      </c>
      <c r="FH2" s="8" t="s">
        <v>202</v>
      </c>
      <c r="FI2" s="8" t="s">
        <v>203</v>
      </c>
      <c r="FJ2" s="8" t="s">
        <v>204</v>
      </c>
      <c r="FK2" s="8" t="s">
        <v>205</v>
      </c>
      <c r="FL2" s="8" t="s">
        <v>206</v>
      </c>
      <c r="FM2" s="8" t="s">
        <v>207</v>
      </c>
      <c r="FN2" s="8" t="s">
        <v>208</v>
      </c>
      <c r="FO2" s="8" t="s">
        <v>209</v>
      </c>
      <c r="FP2" s="8" t="s">
        <v>210</v>
      </c>
      <c r="FQ2" s="8" t="s">
        <v>211</v>
      </c>
      <c r="FR2" s="8" t="s">
        <v>212</v>
      </c>
      <c r="FS2" s="8" t="s">
        <v>213</v>
      </c>
      <c r="FT2" s="8" t="s">
        <v>214</v>
      </c>
      <c r="FU2" s="8" t="s">
        <v>215</v>
      </c>
      <c r="FV2" s="8" t="s">
        <v>216</v>
      </c>
      <c r="FW2" s="8" t="s">
        <v>217</v>
      </c>
      <c r="FX2" s="8" t="s">
        <v>218</v>
      </c>
      <c r="FY2" s="8" t="s">
        <v>219</v>
      </c>
      <c r="FZ2" s="8" t="s">
        <v>220</v>
      </c>
      <c r="GA2" s="8" t="s">
        <v>221</v>
      </c>
      <c r="GB2" s="8" t="s">
        <v>222</v>
      </c>
      <c r="GC2" s="8" t="s">
        <v>223</v>
      </c>
      <c r="GD2" s="8" t="s">
        <v>224</v>
      </c>
      <c r="GE2" s="8" t="s">
        <v>225</v>
      </c>
      <c r="GF2" s="8" t="s">
        <v>226</v>
      </c>
      <c r="GG2" s="8" t="s">
        <v>227</v>
      </c>
      <c r="GH2" s="8" t="s">
        <v>228</v>
      </c>
      <c r="GI2" s="8" t="s">
        <v>229</v>
      </c>
      <c r="GJ2" s="8" t="s">
        <v>230</v>
      </c>
      <c r="GK2" s="8" t="s">
        <v>231</v>
      </c>
      <c r="GL2" s="8" t="s">
        <v>232</v>
      </c>
      <c r="GM2" s="8" t="s">
        <v>233</v>
      </c>
      <c r="GN2" s="8" t="s">
        <v>234</v>
      </c>
      <c r="GO2" s="8" t="s">
        <v>235</v>
      </c>
      <c r="GP2" s="8" t="s">
        <v>236</v>
      </c>
      <c r="GQ2" s="8" t="s">
        <v>237</v>
      </c>
      <c r="GR2" s="8" t="s">
        <v>238</v>
      </c>
      <c r="GS2" s="8" t="s">
        <v>239</v>
      </c>
      <c r="GT2" s="8" t="s">
        <v>240</v>
      </c>
      <c r="GU2" s="8" t="s">
        <v>241</v>
      </c>
      <c r="GV2" s="8" t="s">
        <v>242</v>
      </c>
      <c r="GW2" s="8" t="s">
        <v>243</v>
      </c>
      <c r="GX2" s="8" t="s">
        <v>244</v>
      </c>
      <c r="GY2" s="8" t="s">
        <v>245</v>
      </c>
      <c r="GZ2" s="8" t="s">
        <v>246</v>
      </c>
      <c r="HA2" s="8" t="s">
        <v>247</v>
      </c>
      <c r="HB2" s="8" t="s">
        <v>248</v>
      </c>
      <c r="HC2" s="8" t="s">
        <v>249</v>
      </c>
      <c r="HD2" s="8" t="s">
        <v>250</v>
      </c>
      <c r="HE2" s="8" t="s">
        <v>251</v>
      </c>
      <c r="HF2" s="8" t="s">
        <v>252</v>
      </c>
      <c r="HG2" s="8" t="s">
        <v>253</v>
      </c>
      <c r="HH2" s="8" t="s">
        <v>254</v>
      </c>
      <c r="HI2" s="8" t="s">
        <v>255</v>
      </c>
      <c r="HJ2" s="8" t="s">
        <v>256</v>
      </c>
      <c r="HK2" s="8" t="s">
        <v>257</v>
      </c>
      <c r="HL2" s="8" t="s">
        <v>258</v>
      </c>
      <c r="HM2" s="8" t="s">
        <v>259</v>
      </c>
      <c r="HN2" s="8" t="s">
        <v>260</v>
      </c>
      <c r="HO2" s="8" t="s">
        <v>261</v>
      </c>
      <c r="HP2" s="8" t="s">
        <v>262</v>
      </c>
      <c r="HQ2" s="8" t="s">
        <v>263</v>
      </c>
      <c r="HR2" s="8" t="s">
        <v>264</v>
      </c>
      <c r="HS2" s="8" t="s">
        <v>265</v>
      </c>
      <c r="HT2" s="8" t="s">
        <v>266</v>
      </c>
      <c r="HU2" s="8" t="s">
        <v>267</v>
      </c>
      <c r="HV2" s="9"/>
    </row>
    <row r="3" spans="1:230" ht="28.5" x14ac:dyDescent="0.45">
      <c r="A3" s="10">
        <f t="shared" ref="A3:A34" si="0">ROW() - 2</f>
        <v>1</v>
      </c>
      <c r="B3" t="s">
        <v>268</v>
      </c>
      <c r="C3" t="s">
        <v>268</v>
      </c>
      <c r="D3" s="10"/>
      <c r="E3" s="10"/>
      <c r="F3" s="10"/>
      <c r="G3" s="10"/>
      <c r="H3" t="s">
        <v>269</v>
      </c>
      <c r="N3" s="9">
        <v>1</v>
      </c>
      <c r="O3" s="11" t="s">
        <v>270</v>
      </c>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9">
        <v>1</v>
      </c>
      <c r="CI3" s="11" t="s">
        <v>270</v>
      </c>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9">
        <v>1</v>
      </c>
      <c r="FC3" s="11" t="s">
        <v>270</v>
      </c>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9">
        <v>1</v>
      </c>
    </row>
    <row r="4" spans="1:230" x14ac:dyDescent="0.15">
      <c r="A4" s="10">
        <f t="shared" si="0"/>
        <v>2</v>
      </c>
      <c r="B4" t="s">
        <v>271</v>
      </c>
      <c r="C4" t="s">
        <v>271</v>
      </c>
      <c r="D4" s="10"/>
      <c r="E4" s="10"/>
      <c r="F4" s="10"/>
      <c r="G4" s="10"/>
      <c r="H4" t="s">
        <v>269</v>
      </c>
      <c r="N4" s="9">
        <v>2</v>
      </c>
      <c r="CH4" s="9">
        <v>2</v>
      </c>
      <c r="FB4" s="9">
        <v>2</v>
      </c>
      <c r="HV4" s="9">
        <v>2</v>
      </c>
    </row>
    <row r="5" spans="1:230" ht="15" x14ac:dyDescent="0.25">
      <c r="A5" s="10">
        <f t="shared" si="0"/>
        <v>3</v>
      </c>
      <c r="B5" t="s">
        <v>272</v>
      </c>
      <c r="C5" t="s">
        <v>272</v>
      </c>
      <c r="D5" s="10"/>
      <c r="E5" s="10"/>
      <c r="F5" s="10"/>
      <c r="G5" s="10"/>
      <c r="H5" t="s">
        <v>269</v>
      </c>
      <c r="N5" s="9">
        <v>3</v>
      </c>
      <c r="P5" s="13" t="s">
        <v>273</v>
      </c>
      <c r="BO5" s="13" t="s">
        <v>274</v>
      </c>
      <c r="CH5" s="9">
        <v>3</v>
      </c>
      <c r="CJ5" s="13" t="s">
        <v>273</v>
      </c>
      <c r="EI5" s="13" t="s">
        <v>274</v>
      </c>
      <c r="FB5" s="9">
        <v>3</v>
      </c>
      <c r="FD5" s="13" t="s">
        <v>273</v>
      </c>
      <c r="HC5" s="13" t="s">
        <v>274</v>
      </c>
      <c r="HV5" s="9">
        <v>3</v>
      </c>
    </row>
    <row r="6" spans="1:230" ht="15" x14ac:dyDescent="0.25">
      <c r="A6" s="10">
        <f t="shared" si="0"/>
        <v>4</v>
      </c>
      <c r="B6" t="s">
        <v>275</v>
      </c>
      <c r="C6" t="s">
        <v>275</v>
      </c>
      <c r="D6" s="10"/>
      <c r="E6" s="10"/>
      <c r="F6" s="10"/>
      <c r="G6" s="10"/>
      <c r="H6" t="s">
        <v>269</v>
      </c>
      <c r="N6" s="9">
        <v>4</v>
      </c>
      <c r="Q6" s="13" t="s">
        <v>276</v>
      </c>
      <c r="AX6" s="14" t="s">
        <v>277</v>
      </c>
      <c r="AY6" s="15"/>
      <c r="AZ6" s="15"/>
      <c r="BA6" s="15"/>
      <c r="BB6" s="15"/>
      <c r="BC6" s="15"/>
      <c r="BD6" s="15"/>
      <c r="BE6" s="15"/>
      <c r="BF6" s="15"/>
      <c r="BG6" s="15"/>
      <c r="BH6" s="15"/>
      <c r="BI6" s="15"/>
      <c r="BJ6" s="15"/>
      <c r="BK6" s="15"/>
      <c r="BL6" s="15"/>
      <c r="BM6" s="16"/>
      <c r="BP6" s="13" t="s">
        <v>278</v>
      </c>
      <c r="CH6" s="9">
        <v>4</v>
      </c>
      <c r="CK6" s="13" t="s">
        <v>276</v>
      </c>
      <c r="DR6" s="14" t="s">
        <v>277</v>
      </c>
      <c r="DS6" s="15"/>
      <c r="DT6" s="15"/>
      <c r="DU6" s="15"/>
      <c r="DV6" s="15"/>
      <c r="DW6" s="15"/>
      <c r="DX6" s="15"/>
      <c r="DY6" s="15"/>
      <c r="DZ6" s="15"/>
      <c r="EA6" s="15"/>
      <c r="EB6" s="15"/>
      <c r="EC6" s="15"/>
      <c r="ED6" s="15"/>
      <c r="EE6" s="15"/>
      <c r="EF6" s="15"/>
      <c r="EG6" s="16"/>
      <c r="EJ6" s="13" t="s">
        <v>278</v>
      </c>
      <c r="FB6" s="9">
        <v>4</v>
      </c>
      <c r="FE6" s="13" t="s">
        <v>276</v>
      </c>
      <c r="GL6" s="14" t="s">
        <v>277</v>
      </c>
      <c r="GM6" s="15"/>
      <c r="GN6" s="15"/>
      <c r="GO6" s="15"/>
      <c r="GP6" s="15"/>
      <c r="GQ6" s="15"/>
      <c r="GR6" s="15"/>
      <c r="GS6" s="15"/>
      <c r="GT6" s="15"/>
      <c r="GU6" s="15"/>
      <c r="GV6" s="15"/>
      <c r="GW6" s="15"/>
      <c r="GX6" s="15"/>
      <c r="GY6" s="15"/>
      <c r="GZ6" s="15"/>
      <c r="HA6" s="16"/>
      <c r="HD6" s="13" t="s">
        <v>278</v>
      </c>
      <c r="HV6" s="9">
        <v>4</v>
      </c>
    </row>
    <row r="7" spans="1:230" ht="15" x14ac:dyDescent="0.25">
      <c r="A7" s="10">
        <f t="shared" si="0"/>
        <v>5</v>
      </c>
      <c r="B7" t="s">
        <v>279</v>
      </c>
      <c r="C7" t="s">
        <v>279</v>
      </c>
      <c r="D7" s="10"/>
      <c r="E7" s="10"/>
      <c r="F7" s="10"/>
      <c r="G7" s="10"/>
      <c r="H7" t="s">
        <v>269</v>
      </c>
      <c r="N7" s="9">
        <v>5</v>
      </c>
      <c r="AX7" s="17"/>
      <c r="AY7" s="13" t="s">
        <v>280</v>
      </c>
      <c r="BM7" s="18"/>
      <c r="BP7" s="13" t="s">
        <v>281</v>
      </c>
      <c r="CH7" s="9">
        <v>5</v>
      </c>
      <c r="DR7" s="17"/>
      <c r="DS7" s="13" t="s">
        <v>280</v>
      </c>
      <c r="EG7" s="18"/>
      <c r="EJ7" s="13" t="s">
        <v>281</v>
      </c>
      <c r="FB7" s="9">
        <v>5</v>
      </c>
      <c r="GL7" s="17"/>
      <c r="GM7" s="13" t="s">
        <v>280</v>
      </c>
      <c r="HA7" s="18"/>
      <c r="HD7" s="13" t="s">
        <v>281</v>
      </c>
      <c r="HV7" s="9">
        <v>5</v>
      </c>
    </row>
    <row r="8" spans="1:230" ht="15" x14ac:dyDescent="0.25">
      <c r="A8" s="10">
        <f t="shared" si="0"/>
        <v>6</v>
      </c>
      <c r="B8" t="s">
        <v>282</v>
      </c>
      <c r="C8" t="s">
        <v>283</v>
      </c>
      <c r="D8" s="10"/>
      <c r="E8" s="10"/>
      <c r="F8" s="10" t="s">
        <v>284</v>
      </c>
      <c r="G8" s="10"/>
      <c r="H8" t="s">
        <v>269</v>
      </c>
      <c r="N8" s="9">
        <v>6</v>
      </c>
      <c r="Q8" s="13" t="s">
        <v>285</v>
      </c>
      <c r="AF8" s="13" t="s">
        <v>286</v>
      </c>
      <c r="AX8" s="17"/>
      <c r="AY8" s="13" t="s">
        <v>287</v>
      </c>
      <c r="BM8" s="18"/>
      <c r="BQ8" s="13" t="s">
        <v>288</v>
      </c>
      <c r="CH8" s="9">
        <v>6</v>
      </c>
      <c r="CK8" s="13" t="s">
        <v>285</v>
      </c>
      <c r="CZ8" s="13" t="s">
        <v>286</v>
      </c>
      <c r="DR8" s="17"/>
      <c r="DS8" s="13" t="s">
        <v>287</v>
      </c>
      <c r="EG8" s="18"/>
      <c r="EK8" s="13" t="s">
        <v>289</v>
      </c>
      <c r="FB8" s="9">
        <v>6</v>
      </c>
      <c r="FE8" s="13" t="s">
        <v>285</v>
      </c>
      <c r="FT8" s="13" t="s">
        <v>286</v>
      </c>
      <c r="GL8" s="17"/>
      <c r="GM8" s="13" t="s">
        <v>287</v>
      </c>
      <c r="HA8" s="18"/>
      <c r="HE8" s="19" t="s">
        <v>290</v>
      </c>
      <c r="HV8" s="9">
        <v>6</v>
      </c>
    </row>
    <row r="9" spans="1:230" ht="15" x14ac:dyDescent="0.25">
      <c r="A9" s="10">
        <f t="shared" si="0"/>
        <v>7</v>
      </c>
      <c r="B9" t="s">
        <v>291</v>
      </c>
      <c r="C9" t="s">
        <v>291</v>
      </c>
      <c r="D9" s="10"/>
      <c r="E9" s="10"/>
      <c r="F9" s="10"/>
      <c r="G9" s="10"/>
      <c r="H9" t="s">
        <v>269</v>
      </c>
      <c r="N9" s="9">
        <v>7</v>
      </c>
      <c r="AX9" s="17"/>
      <c r="AY9" s="13" t="s">
        <v>292</v>
      </c>
      <c r="BM9" s="18"/>
      <c r="BQ9" s="13" t="s">
        <v>293</v>
      </c>
      <c r="CH9" s="9">
        <v>7</v>
      </c>
      <c r="DR9" s="17"/>
      <c r="DS9" s="13" t="s">
        <v>292</v>
      </c>
      <c r="EG9" s="18"/>
      <c r="EK9" s="13" t="s">
        <v>293</v>
      </c>
      <c r="FB9" s="9">
        <v>7</v>
      </c>
      <c r="GL9" s="17"/>
      <c r="GM9" s="13" t="s">
        <v>292</v>
      </c>
      <c r="HA9" s="18"/>
      <c r="HE9" s="13" t="s">
        <v>293</v>
      </c>
      <c r="HV9" s="9">
        <v>7</v>
      </c>
    </row>
    <row r="10" spans="1:230" ht="15" x14ac:dyDescent="0.25">
      <c r="A10" s="10">
        <f t="shared" si="0"/>
        <v>8</v>
      </c>
      <c r="B10" t="s">
        <v>294</v>
      </c>
      <c r="C10" t="s">
        <v>295</v>
      </c>
      <c r="D10" s="10"/>
      <c r="E10" s="10"/>
      <c r="F10" s="10" t="s">
        <v>284</v>
      </c>
      <c r="G10" s="10"/>
      <c r="H10" t="s">
        <v>296</v>
      </c>
      <c r="N10" s="9">
        <v>8</v>
      </c>
      <c r="AX10" s="17"/>
      <c r="AY10" s="13" t="s">
        <v>297</v>
      </c>
      <c r="AZ10" s="20"/>
      <c r="BA10" s="20"/>
      <c r="BB10" s="20"/>
      <c r="BC10" s="20"/>
      <c r="BD10" s="20"/>
      <c r="BE10" s="20"/>
      <c r="BF10" s="20"/>
      <c r="BG10" s="20"/>
      <c r="BH10" s="20"/>
      <c r="BI10" s="20"/>
      <c r="BJ10" s="20"/>
      <c r="BK10" s="20"/>
      <c r="BL10" s="20"/>
      <c r="BM10" s="18"/>
      <c r="BQ10" s="13" t="s">
        <v>298</v>
      </c>
      <c r="CH10" s="9">
        <v>8</v>
      </c>
      <c r="DR10" s="17"/>
      <c r="DS10" s="13" t="s">
        <v>297</v>
      </c>
      <c r="DT10" s="20"/>
      <c r="DU10" s="20"/>
      <c r="DV10" s="20"/>
      <c r="DW10" s="20"/>
      <c r="DX10" s="20"/>
      <c r="DY10" s="20"/>
      <c r="DZ10" s="20"/>
      <c r="EA10" s="20"/>
      <c r="EB10" s="20"/>
      <c r="EC10" s="20"/>
      <c r="ED10" s="20"/>
      <c r="EE10" s="20"/>
      <c r="EF10" s="20"/>
      <c r="EG10" s="18"/>
      <c r="EK10" s="13" t="s">
        <v>299</v>
      </c>
      <c r="FB10" s="9">
        <v>8</v>
      </c>
      <c r="GL10" s="17"/>
      <c r="GM10" s="13" t="s">
        <v>297</v>
      </c>
      <c r="GN10" s="20"/>
      <c r="GO10" s="20"/>
      <c r="GP10" s="20"/>
      <c r="GQ10" s="20"/>
      <c r="GR10" s="20"/>
      <c r="GS10" s="20"/>
      <c r="GT10" s="20"/>
      <c r="GU10" s="20"/>
      <c r="GV10" s="20"/>
      <c r="GW10" s="20"/>
      <c r="GX10" s="20"/>
      <c r="GY10" s="20"/>
      <c r="GZ10" s="20"/>
      <c r="HA10" s="18"/>
      <c r="HE10" s="19" t="s">
        <v>300</v>
      </c>
      <c r="HV10" s="9">
        <v>8</v>
      </c>
    </row>
    <row r="11" spans="1:230" ht="15" x14ac:dyDescent="0.25">
      <c r="A11" s="10">
        <f t="shared" si="0"/>
        <v>9</v>
      </c>
      <c r="B11" t="s">
        <v>301</v>
      </c>
      <c r="C11" t="s">
        <v>302</v>
      </c>
      <c r="D11" s="10"/>
      <c r="E11" s="10"/>
      <c r="F11" s="10" t="s">
        <v>284</v>
      </c>
      <c r="G11" s="10"/>
      <c r="H11" t="s">
        <v>303</v>
      </c>
      <c r="N11" s="9">
        <v>9</v>
      </c>
      <c r="AX11" s="17"/>
      <c r="AY11" s="13" t="s">
        <v>304</v>
      </c>
      <c r="AZ11" s="20"/>
      <c r="BA11" s="20"/>
      <c r="BB11" s="20"/>
      <c r="BC11" s="20"/>
      <c r="BD11" s="20"/>
      <c r="BE11" s="20"/>
      <c r="BF11" s="20"/>
      <c r="BG11" s="20"/>
      <c r="BH11" s="20"/>
      <c r="BI11" s="20"/>
      <c r="BJ11" s="20"/>
      <c r="BK11" s="20"/>
      <c r="BL11" s="20"/>
      <c r="BM11" s="18"/>
      <c r="BQ11" s="13" t="s">
        <v>305</v>
      </c>
      <c r="CH11" s="9">
        <v>9</v>
      </c>
      <c r="DR11" s="17"/>
      <c r="DS11" s="13" t="s">
        <v>304</v>
      </c>
      <c r="DT11" s="20"/>
      <c r="DU11" s="20"/>
      <c r="DV11" s="20"/>
      <c r="DW11" s="20"/>
      <c r="DX11" s="20"/>
      <c r="DY11" s="20"/>
      <c r="DZ11" s="20"/>
      <c r="EA11" s="20"/>
      <c r="EB11" s="20"/>
      <c r="EC11" s="20"/>
      <c r="ED11" s="20"/>
      <c r="EE11" s="20"/>
      <c r="EF11" s="20"/>
      <c r="EG11" s="18"/>
      <c r="EK11" s="13" t="s">
        <v>306</v>
      </c>
      <c r="FB11" s="9">
        <v>9</v>
      </c>
      <c r="GL11" s="17"/>
      <c r="GM11" s="13" t="s">
        <v>304</v>
      </c>
      <c r="GN11" s="20"/>
      <c r="GO11" s="20"/>
      <c r="GP11" s="20"/>
      <c r="GQ11" s="20"/>
      <c r="GR11" s="20"/>
      <c r="GS11" s="20"/>
      <c r="GT11" s="20"/>
      <c r="GU11" s="20"/>
      <c r="GV11" s="20"/>
      <c r="GW11" s="20"/>
      <c r="GX11" s="20"/>
      <c r="GY11" s="20"/>
      <c r="GZ11" s="20"/>
      <c r="HA11" s="18"/>
      <c r="HE11" s="19" t="s">
        <v>307</v>
      </c>
      <c r="HV11" s="9">
        <v>9</v>
      </c>
    </row>
    <row r="12" spans="1:230" ht="15" x14ac:dyDescent="0.25">
      <c r="A12" s="10">
        <f t="shared" si="0"/>
        <v>10</v>
      </c>
      <c r="B12" t="s">
        <v>308</v>
      </c>
      <c r="C12" t="s">
        <v>309</v>
      </c>
      <c r="D12" s="10"/>
      <c r="E12" s="10"/>
      <c r="F12" s="10" t="s">
        <v>284</v>
      </c>
      <c r="G12" s="10"/>
      <c r="H12" t="s">
        <v>310</v>
      </c>
      <c r="N12" s="9">
        <v>10</v>
      </c>
      <c r="AX12" s="17"/>
      <c r="AY12" s="13" t="s">
        <v>311</v>
      </c>
      <c r="AZ12" s="20"/>
      <c r="BA12" s="20"/>
      <c r="BB12" s="20"/>
      <c r="BC12" s="20"/>
      <c r="BD12" s="20"/>
      <c r="BE12" s="20"/>
      <c r="BF12" s="20"/>
      <c r="BG12" s="20"/>
      <c r="BH12" s="20"/>
      <c r="BI12" s="20"/>
      <c r="BJ12" s="20"/>
      <c r="BK12" s="20"/>
      <c r="BL12" s="20"/>
      <c r="BM12" s="18"/>
      <c r="BQ12" s="13" t="s">
        <v>312</v>
      </c>
      <c r="CH12" s="9">
        <v>10</v>
      </c>
      <c r="DR12" s="17"/>
      <c r="DS12" s="13" t="s">
        <v>311</v>
      </c>
      <c r="DT12" s="20"/>
      <c r="DU12" s="20"/>
      <c r="DV12" s="20"/>
      <c r="DW12" s="20"/>
      <c r="DX12" s="20"/>
      <c r="DY12" s="20"/>
      <c r="DZ12" s="20"/>
      <c r="EA12" s="20"/>
      <c r="EB12" s="20"/>
      <c r="EC12" s="20"/>
      <c r="ED12" s="20"/>
      <c r="EE12" s="20"/>
      <c r="EF12" s="20"/>
      <c r="EG12" s="18"/>
      <c r="EK12" s="13" t="s">
        <v>298</v>
      </c>
      <c r="FB12" s="9">
        <v>10</v>
      </c>
      <c r="GL12" s="17"/>
      <c r="GM12" s="13" t="s">
        <v>311</v>
      </c>
      <c r="GN12" s="20"/>
      <c r="GO12" s="20"/>
      <c r="GP12" s="20"/>
      <c r="GQ12" s="20"/>
      <c r="GR12" s="20"/>
      <c r="GS12" s="20"/>
      <c r="GT12" s="20"/>
      <c r="GU12" s="20"/>
      <c r="GV12" s="20"/>
      <c r="GW12" s="20"/>
      <c r="GX12" s="20"/>
      <c r="GY12" s="20"/>
      <c r="GZ12" s="20"/>
      <c r="HA12" s="18"/>
      <c r="HE12" s="19" t="s">
        <v>313</v>
      </c>
      <c r="HV12" s="9">
        <v>10</v>
      </c>
    </row>
    <row r="13" spans="1:230" ht="15" x14ac:dyDescent="0.25">
      <c r="A13" s="10">
        <f t="shared" si="0"/>
        <v>11</v>
      </c>
      <c r="B13" t="s">
        <v>314</v>
      </c>
      <c r="C13" t="s">
        <v>315</v>
      </c>
      <c r="D13" s="10"/>
      <c r="E13" s="10"/>
      <c r="F13" s="10" t="s">
        <v>284</v>
      </c>
      <c r="G13" s="10"/>
      <c r="H13" t="s">
        <v>316</v>
      </c>
      <c r="N13" s="9">
        <v>11</v>
      </c>
      <c r="AX13" s="17"/>
      <c r="AY13" s="13" t="s">
        <v>317</v>
      </c>
      <c r="AZ13" s="20"/>
      <c r="BA13" s="20"/>
      <c r="BB13" s="20"/>
      <c r="BC13" s="20"/>
      <c r="BD13" s="20"/>
      <c r="BE13" s="20"/>
      <c r="BF13" s="20"/>
      <c r="BG13" s="20"/>
      <c r="BH13" s="20"/>
      <c r="BI13" s="20"/>
      <c r="BJ13" s="20"/>
      <c r="BK13" s="20"/>
      <c r="BL13" s="20"/>
      <c r="BM13" s="18"/>
      <c r="CH13" s="9">
        <v>11</v>
      </c>
      <c r="DR13" s="17"/>
      <c r="DS13" s="13" t="s">
        <v>317</v>
      </c>
      <c r="DT13" s="20"/>
      <c r="DU13" s="20"/>
      <c r="DV13" s="20"/>
      <c r="DW13" s="20"/>
      <c r="DX13" s="20"/>
      <c r="DY13" s="20"/>
      <c r="DZ13" s="20"/>
      <c r="EA13" s="20"/>
      <c r="EB13" s="20"/>
      <c r="EC13" s="20"/>
      <c r="ED13" s="20"/>
      <c r="EE13" s="20"/>
      <c r="EF13" s="20"/>
      <c r="EG13" s="18"/>
      <c r="EK13" s="13" t="s">
        <v>305</v>
      </c>
      <c r="FB13" s="9">
        <v>11</v>
      </c>
      <c r="GL13" s="17"/>
      <c r="GM13" s="13" t="s">
        <v>317</v>
      </c>
      <c r="GN13" s="20"/>
      <c r="GO13" s="20"/>
      <c r="GP13" s="20"/>
      <c r="GQ13" s="20"/>
      <c r="GR13" s="20"/>
      <c r="GS13" s="20"/>
      <c r="GT13" s="20"/>
      <c r="GU13" s="20"/>
      <c r="GV13" s="20"/>
      <c r="GW13" s="20"/>
      <c r="GX13" s="20"/>
      <c r="GY13" s="20"/>
      <c r="GZ13" s="20"/>
      <c r="HA13" s="18"/>
      <c r="HE13" s="19" t="s">
        <v>318</v>
      </c>
      <c r="HV13" s="9">
        <v>11</v>
      </c>
    </row>
    <row r="14" spans="1:230" ht="15" x14ac:dyDescent="0.25">
      <c r="A14" s="10">
        <f t="shared" si="0"/>
        <v>12</v>
      </c>
      <c r="B14" t="s">
        <v>319</v>
      </c>
      <c r="C14" t="s">
        <v>320</v>
      </c>
      <c r="D14" s="10"/>
      <c r="E14" s="10"/>
      <c r="F14" s="10" t="s">
        <v>284</v>
      </c>
      <c r="G14" s="10"/>
      <c r="H14" t="s">
        <v>321</v>
      </c>
      <c r="N14" s="9">
        <v>12</v>
      </c>
      <c r="Q14" s="13" t="s">
        <v>322</v>
      </c>
      <c r="AX14" s="17"/>
      <c r="AY14" s="13" t="s">
        <v>323</v>
      </c>
      <c r="AZ14" s="20"/>
      <c r="BA14" s="20"/>
      <c r="BB14" s="20"/>
      <c r="BC14" s="20"/>
      <c r="BD14" s="20"/>
      <c r="BE14" s="20"/>
      <c r="BF14" s="20"/>
      <c r="BG14" s="20"/>
      <c r="BH14" s="20"/>
      <c r="BI14" s="20"/>
      <c r="BJ14" s="20"/>
      <c r="BK14" s="20"/>
      <c r="BL14" s="20"/>
      <c r="BM14" s="18"/>
      <c r="CH14" s="9">
        <v>12</v>
      </c>
      <c r="CK14" s="13" t="s">
        <v>322</v>
      </c>
      <c r="DR14" s="17"/>
      <c r="DS14" s="13" t="s">
        <v>323</v>
      </c>
      <c r="DT14" s="20"/>
      <c r="DU14" s="20"/>
      <c r="DV14" s="20"/>
      <c r="DW14" s="20"/>
      <c r="DX14" s="20"/>
      <c r="DY14" s="20"/>
      <c r="DZ14" s="20"/>
      <c r="EA14" s="20"/>
      <c r="EB14" s="20"/>
      <c r="EC14" s="20"/>
      <c r="ED14" s="20"/>
      <c r="EE14" s="20"/>
      <c r="EF14" s="20"/>
      <c r="EG14" s="18"/>
      <c r="EK14" s="13" t="s">
        <v>312</v>
      </c>
      <c r="FB14" s="9">
        <v>12</v>
      </c>
      <c r="FE14" s="13" t="s">
        <v>322</v>
      </c>
      <c r="GL14" s="17"/>
      <c r="GM14" s="13" t="s">
        <v>323</v>
      </c>
      <c r="GN14" s="20"/>
      <c r="GO14" s="20"/>
      <c r="GP14" s="20"/>
      <c r="GQ14" s="20"/>
      <c r="GR14" s="20"/>
      <c r="GS14" s="20"/>
      <c r="GT14" s="20"/>
      <c r="GU14" s="20"/>
      <c r="GV14" s="20"/>
      <c r="GW14" s="20"/>
      <c r="GX14" s="20"/>
      <c r="GY14" s="20"/>
      <c r="GZ14" s="20"/>
      <c r="HA14" s="18"/>
      <c r="HE14" s="19" t="s">
        <v>324</v>
      </c>
      <c r="HV14" s="9">
        <v>12</v>
      </c>
    </row>
    <row r="15" spans="1:230" ht="15" x14ac:dyDescent="0.25">
      <c r="A15" s="10">
        <f t="shared" si="0"/>
        <v>13</v>
      </c>
      <c r="B15" t="s">
        <v>325</v>
      </c>
      <c r="C15" t="s">
        <v>325</v>
      </c>
      <c r="D15" s="10"/>
      <c r="E15" s="10"/>
      <c r="F15" s="10"/>
      <c r="G15" s="10"/>
      <c r="H15" t="s">
        <v>269</v>
      </c>
      <c r="N15" s="9">
        <v>13</v>
      </c>
      <c r="AX15" s="17"/>
      <c r="AY15" s="13" t="s">
        <v>326</v>
      </c>
      <c r="AZ15" s="20"/>
      <c r="BA15" s="20"/>
      <c r="BB15" s="20"/>
      <c r="BC15" s="20"/>
      <c r="BD15" s="20"/>
      <c r="BE15" s="20"/>
      <c r="BF15" s="20"/>
      <c r="BG15" s="20"/>
      <c r="BH15" s="20"/>
      <c r="BI15" s="20"/>
      <c r="BJ15" s="20"/>
      <c r="BK15" s="20"/>
      <c r="BL15" s="20"/>
      <c r="BM15" s="18"/>
      <c r="BP15" s="13" t="s">
        <v>327</v>
      </c>
      <c r="CH15" s="9">
        <v>13</v>
      </c>
      <c r="DR15" s="17"/>
      <c r="DS15" s="13" t="s">
        <v>326</v>
      </c>
      <c r="DT15" s="20"/>
      <c r="DU15" s="20"/>
      <c r="DV15" s="20"/>
      <c r="DW15" s="20"/>
      <c r="DX15" s="20"/>
      <c r="DY15" s="20"/>
      <c r="DZ15" s="20"/>
      <c r="EA15" s="20"/>
      <c r="EB15" s="20"/>
      <c r="EC15" s="20"/>
      <c r="ED15" s="20"/>
      <c r="EE15" s="20"/>
      <c r="EF15" s="20"/>
      <c r="EG15" s="18"/>
      <c r="EJ15" s="13" t="s">
        <v>327</v>
      </c>
      <c r="FB15" s="9">
        <v>13</v>
      </c>
      <c r="GL15" s="17"/>
      <c r="GM15" s="13" t="s">
        <v>326</v>
      </c>
      <c r="GN15" s="20"/>
      <c r="GO15" s="20"/>
      <c r="GP15" s="20"/>
      <c r="GQ15" s="20"/>
      <c r="GR15" s="20"/>
      <c r="GS15" s="20"/>
      <c r="GT15" s="20"/>
      <c r="GU15" s="20"/>
      <c r="GV15" s="20"/>
      <c r="GW15" s="20"/>
      <c r="GX15" s="20"/>
      <c r="GY15" s="20"/>
      <c r="GZ15" s="20"/>
      <c r="HA15" s="18"/>
      <c r="HD15" s="13" t="s">
        <v>327</v>
      </c>
      <c r="HV15" s="9">
        <v>13</v>
      </c>
    </row>
    <row r="16" spans="1:230" ht="15" x14ac:dyDescent="0.25">
      <c r="A16" s="10">
        <f t="shared" si="0"/>
        <v>14</v>
      </c>
      <c r="B16" t="s">
        <v>328</v>
      </c>
      <c r="C16" t="s">
        <v>328</v>
      </c>
      <c r="D16" s="10"/>
      <c r="E16" s="10"/>
      <c r="F16" s="10"/>
      <c r="G16" s="10"/>
      <c r="H16" t="s">
        <v>269</v>
      </c>
      <c r="N16" s="9">
        <v>14</v>
      </c>
      <c r="AX16" s="17"/>
      <c r="AY16" s="13" t="s">
        <v>329</v>
      </c>
      <c r="AZ16" s="20"/>
      <c r="BA16" s="20"/>
      <c r="BB16" s="20"/>
      <c r="BC16" s="20"/>
      <c r="BD16" s="20"/>
      <c r="BE16" s="20"/>
      <c r="BF16" s="20"/>
      <c r="BG16" s="20"/>
      <c r="BH16" s="20"/>
      <c r="BI16" s="20"/>
      <c r="BJ16" s="20"/>
      <c r="BK16" s="20"/>
      <c r="BL16" s="20"/>
      <c r="BM16" s="18"/>
      <c r="BP16" s="13" t="s">
        <v>330</v>
      </c>
      <c r="CH16" s="9">
        <v>14</v>
      </c>
      <c r="DR16" s="17"/>
      <c r="DS16" s="13" t="s">
        <v>329</v>
      </c>
      <c r="DT16" s="20"/>
      <c r="DU16" s="20"/>
      <c r="DV16" s="20"/>
      <c r="DW16" s="20"/>
      <c r="DX16" s="20"/>
      <c r="DY16" s="20"/>
      <c r="DZ16" s="20"/>
      <c r="EA16" s="20"/>
      <c r="EB16" s="20"/>
      <c r="EC16" s="20"/>
      <c r="ED16" s="20"/>
      <c r="EE16" s="20"/>
      <c r="EF16" s="20"/>
      <c r="EG16" s="18"/>
      <c r="EJ16" s="13" t="s">
        <v>330</v>
      </c>
      <c r="FB16" s="9">
        <v>14</v>
      </c>
      <c r="GL16" s="17"/>
      <c r="GM16" s="13" t="s">
        <v>329</v>
      </c>
      <c r="GN16" s="20"/>
      <c r="GO16" s="20"/>
      <c r="GP16" s="20"/>
      <c r="GQ16" s="20"/>
      <c r="GR16" s="20"/>
      <c r="GS16" s="20"/>
      <c r="GT16" s="20"/>
      <c r="GU16" s="20"/>
      <c r="GV16" s="20"/>
      <c r="GW16" s="20"/>
      <c r="GX16" s="20"/>
      <c r="GY16" s="20"/>
      <c r="GZ16" s="20"/>
      <c r="HA16" s="18"/>
      <c r="HD16" s="13" t="s">
        <v>330</v>
      </c>
      <c r="HV16" s="9">
        <v>14</v>
      </c>
    </row>
    <row r="17" spans="1:230" ht="15" x14ac:dyDescent="0.25">
      <c r="A17" s="10">
        <f t="shared" si="0"/>
        <v>15</v>
      </c>
      <c r="B17" t="s">
        <v>331</v>
      </c>
      <c r="C17" t="s">
        <v>331</v>
      </c>
      <c r="D17" s="10"/>
      <c r="E17" s="10"/>
      <c r="F17" s="10"/>
      <c r="G17" s="10"/>
      <c r="H17" t="s">
        <v>269</v>
      </c>
      <c r="N17" s="9">
        <v>15</v>
      </c>
      <c r="AX17" s="17"/>
      <c r="AY17" s="13" t="s">
        <v>332</v>
      </c>
      <c r="AZ17" s="20"/>
      <c r="BA17" s="20"/>
      <c r="BB17" s="20"/>
      <c r="BC17" s="20"/>
      <c r="BD17" s="20"/>
      <c r="BE17" s="20"/>
      <c r="BF17" s="20"/>
      <c r="BG17" s="20"/>
      <c r="BH17" s="20"/>
      <c r="BI17" s="20"/>
      <c r="BJ17" s="20"/>
      <c r="BK17" s="20"/>
      <c r="BL17" s="20"/>
      <c r="BM17" s="18"/>
      <c r="BP17" s="21" t="s">
        <v>333</v>
      </c>
      <c r="CH17" s="9">
        <v>15</v>
      </c>
      <c r="DR17" s="17"/>
      <c r="DS17" s="13" t="s">
        <v>332</v>
      </c>
      <c r="DT17" s="20"/>
      <c r="DU17" s="20"/>
      <c r="DV17" s="20"/>
      <c r="DW17" s="20"/>
      <c r="DX17" s="20"/>
      <c r="DY17" s="20"/>
      <c r="DZ17" s="20"/>
      <c r="EA17" s="20"/>
      <c r="EB17" s="20"/>
      <c r="EC17" s="20"/>
      <c r="ED17" s="20"/>
      <c r="EE17" s="20"/>
      <c r="EF17" s="20"/>
      <c r="EG17" s="18"/>
      <c r="EJ17" s="21" t="s">
        <v>333</v>
      </c>
      <c r="FB17" s="9">
        <v>15</v>
      </c>
      <c r="GL17" s="17"/>
      <c r="GM17" s="13" t="s">
        <v>332</v>
      </c>
      <c r="GN17" s="20"/>
      <c r="GO17" s="20"/>
      <c r="GP17" s="20"/>
      <c r="GQ17" s="20"/>
      <c r="GR17" s="20"/>
      <c r="GS17" s="20"/>
      <c r="GT17" s="20"/>
      <c r="GU17" s="20"/>
      <c r="GV17" s="20"/>
      <c r="GW17" s="20"/>
      <c r="GX17" s="20"/>
      <c r="GY17" s="20"/>
      <c r="GZ17" s="20"/>
      <c r="HA17" s="18"/>
      <c r="HD17" s="21" t="s">
        <v>333</v>
      </c>
      <c r="HV17" s="9">
        <v>15</v>
      </c>
    </row>
    <row r="18" spans="1:230" ht="15" x14ac:dyDescent="0.25">
      <c r="A18" s="10">
        <f t="shared" si="0"/>
        <v>16</v>
      </c>
      <c r="B18" t="s">
        <v>334</v>
      </c>
      <c r="C18" t="s">
        <v>334</v>
      </c>
      <c r="D18" s="10"/>
      <c r="E18" s="10"/>
      <c r="F18" s="10"/>
      <c r="G18" s="10"/>
      <c r="H18" t="s">
        <v>269</v>
      </c>
      <c r="N18" s="9">
        <v>16</v>
      </c>
      <c r="AX18" s="17"/>
      <c r="AY18" s="13" t="s">
        <v>335</v>
      </c>
      <c r="BM18" s="18"/>
      <c r="BP18" s="13" t="s">
        <v>336</v>
      </c>
      <c r="CH18" s="9">
        <v>16</v>
      </c>
      <c r="DR18" s="17"/>
      <c r="DS18" s="13" t="s">
        <v>335</v>
      </c>
      <c r="EG18" s="18"/>
      <c r="EJ18" s="13" t="s">
        <v>336</v>
      </c>
      <c r="FB18" s="9">
        <v>16</v>
      </c>
      <c r="GL18" s="17"/>
      <c r="GM18" s="13" t="s">
        <v>335</v>
      </c>
      <c r="HA18" s="18"/>
      <c r="HD18" s="13" t="s">
        <v>336</v>
      </c>
      <c r="HV18" s="9">
        <v>16</v>
      </c>
    </row>
    <row r="19" spans="1:230" ht="15" x14ac:dyDescent="0.25">
      <c r="A19" s="10">
        <f t="shared" si="0"/>
        <v>17</v>
      </c>
      <c r="B19" t="s">
        <v>337</v>
      </c>
      <c r="C19" t="s">
        <v>337</v>
      </c>
      <c r="D19" s="10"/>
      <c r="E19" s="10"/>
      <c r="F19" s="10"/>
      <c r="G19" s="10"/>
      <c r="H19" t="s">
        <v>269</v>
      </c>
      <c r="N19" s="9">
        <v>17</v>
      </c>
      <c r="AX19" s="17"/>
      <c r="AY19" s="13" t="s">
        <v>338</v>
      </c>
      <c r="AZ19" s="22"/>
      <c r="BA19" s="22"/>
      <c r="BB19" s="22"/>
      <c r="BC19" s="22"/>
      <c r="BD19" s="22"/>
      <c r="BE19" s="22"/>
      <c r="BF19" s="22"/>
      <c r="BG19" s="22"/>
      <c r="BH19" s="22"/>
      <c r="BI19" s="22"/>
      <c r="BJ19" s="22"/>
      <c r="BK19" s="22"/>
      <c r="BL19" s="22"/>
      <c r="BM19" s="18"/>
      <c r="CH19" s="9">
        <v>17</v>
      </c>
      <c r="DR19" s="17"/>
      <c r="DS19" s="13" t="s">
        <v>338</v>
      </c>
      <c r="DT19" s="22"/>
      <c r="DU19" s="22"/>
      <c r="DV19" s="22"/>
      <c r="DW19" s="22"/>
      <c r="DX19" s="22"/>
      <c r="DY19" s="22"/>
      <c r="DZ19" s="22"/>
      <c r="EA19" s="22"/>
      <c r="EB19" s="22"/>
      <c r="EC19" s="22"/>
      <c r="ED19" s="22"/>
      <c r="EE19" s="22"/>
      <c r="EF19" s="22"/>
      <c r="EG19" s="18"/>
      <c r="FB19" s="9">
        <v>17</v>
      </c>
      <c r="GL19" s="17"/>
      <c r="GM19" s="13" t="s">
        <v>338</v>
      </c>
      <c r="GN19" s="22"/>
      <c r="GO19" s="22"/>
      <c r="GP19" s="22"/>
      <c r="GQ19" s="22"/>
      <c r="GR19" s="22"/>
      <c r="GS19" s="22"/>
      <c r="GT19" s="22"/>
      <c r="GU19" s="22"/>
      <c r="GV19" s="22"/>
      <c r="GW19" s="22"/>
      <c r="GX19" s="22"/>
      <c r="GY19" s="22"/>
      <c r="GZ19" s="22"/>
      <c r="HA19" s="18"/>
      <c r="HV19" s="9">
        <v>17</v>
      </c>
    </row>
    <row r="20" spans="1:230" ht="15" x14ac:dyDescent="0.25">
      <c r="A20" s="10">
        <f t="shared" si="0"/>
        <v>18</v>
      </c>
      <c r="B20" t="s">
        <v>339</v>
      </c>
      <c r="C20" t="s">
        <v>339</v>
      </c>
      <c r="D20" s="10"/>
      <c r="E20" s="10"/>
      <c r="F20" s="10"/>
      <c r="G20" s="10"/>
      <c r="H20" t="s">
        <v>269</v>
      </c>
      <c r="N20" s="9">
        <v>18</v>
      </c>
      <c r="AX20" s="17"/>
      <c r="AY20" s="13" t="s">
        <v>304</v>
      </c>
      <c r="AZ20" s="22"/>
      <c r="BA20" s="22"/>
      <c r="BB20" s="22"/>
      <c r="BC20" s="22"/>
      <c r="BD20" s="22"/>
      <c r="BE20" s="22"/>
      <c r="BF20" s="22"/>
      <c r="BG20" s="22"/>
      <c r="BH20" s="22"/>
      <c r="BI20" s="22"/>
      <c r="BJ20" s="22"/>
      <c r="BK20" s="22"/>
      <c r="BL20" s="22"/>
      <c r="BM20" s="18"/>
      <c r="BP20" s="13" t="s">
        <v>340</v>
      </c>
      <c r="CH20" s="9">
        <v>18</v>
      </c>
      <c r="DR20" s="17"/>
      <c r="DS20" s="13" t="s">
        <v>304</v>
      </c>
      <c r="DT20" s="22"/>
      <c r="DU20" s="22"/>
      <c r="DV20" s="22"/>
      <c r="DW20" s="22"/>
      <c r="DX20" s="22"/>
      <c r="DY20" s="22"/>
      <c r="DZ20" s="22"/>
      <c r="EA20" s="22"/>
      <c r="EB20" s="22"/>
      <c r="EC20" s="22"/>
      <c r="ED20" s="22"/>
      <c r="EE20" s="22"/>
      <c r="EF20" s="22"/>
      <c r="EG20" s="18"/>
      <c r="EJ20" s="13" t="s">
        <v>340</v>
      </c>
      <c r="FB20" s="9">
        <v>18</v>
      </c>
      <c r="GL20" s="17"/>
      <c r="GM20" s="13" t="s">
        <v>304</v>
      </c>
      <c r="GN20" s="22"/>
      <c r="GO20" s="22"/>
      <c r="GP20" s="22"/>
      <c r="GQ20" s="22"/>
      <c r="GR20" s="22"/>
      <c r="GS20" s="22"/>
      <c r="GT20" s="22"/>
      <c r="GU20" s="22"/>
      <c r="GV20" s="22"/>
      <c r="GW20" s="22"/>
      <c r="GX20" s="22"/>
      <c r="GY20" s="22"/>
      <c r="GZ20" s="22"/>
      <c r="HA20" s="18"/>
      <c r="HD20" s="13" t="s">
        <v>340</v>
      </c>
      <c r="HV20" s="9">
        <v>18</v>
      </c>
    </row>
    <row r="21" spans="1:230" ht="15" x14ac:dyDescent="0.25">
      <c r="A21" s="10">
        <f t="shared" si="0"/>
        <v>19</v>
      </c>
      <c r="B21" t="s">
        <v>341</v>
      </c>
      <c r="C21" t="s">
        <v>341</v>
      </c>
      <c r="D21" s="10"/>
      <c r="E21" s="10"/>
      <c r="F21" s="10"/>
      <c r="G21" s="10"/>
      <c r="H21" t="s">
        <v>269</v>
      </c>
      <c r="N21" s="9">
        <v>19</v>
      </c>
      <c r="AX21" s="17"/>
      <c r="AY21" s="13" t="s">
        <v>311</v>
      </c>
      <c r="AZ21" s="22"/>
      <c r="BA21" s="22"/>
      <c r="BB21" s="22"/>
      <c r="BC21" s="22"/>
      <c r="BD21" s="22"/>
      <c r="BE21" s="22"/>
      <c r="BF21" s="22"/>
      <c r="BG21" s="22"/>
      <c r="BH21" s="22"/>
      <c r="BI21" s="22"/>
      <c r="BJ21" s="22"/>
      <c r="BK21" s="22"/>
      <c r="BL21" s="22"/>
      <c r="BM21" s="18"/>
      <c r="BP21" s="13" t="s">
        <v>342</v>
      </c>
      <c r="CH21" s="9">
        <v>19</v>
      </c>
      <c r="DR21" s="17"/>
      <c r="DS21" s="13" t="s">
        <v>311</v>
      </c>
      <c r="DT21" s="22"/>
      <c r="DU21" s="22"/>
      <c r="DV21" s="22"/>
      <c r="DW21" s="22"/>
      <c r="DX21" s="22"/>
      <c r="DY21" s="22"/>
      <c r="DZ21" s="22"/>
      <c r="EA21" s="22"/>
      <c r="EB21" s="22"/>
      <c r="EC21" s="22"/>
      <c r="ED21" s="22"/>
      <c r="EE21" s="22"/>
      <c r="EF21" s="22"/>
      <c r="EG21" s="18"/>
      <c r="EJ21" s="13" t="s">
        <v>342</v>
      </c>
      <c r="FB21" s="9">
        <v>19</v>
      </c>
      <c r="GL21" s="17"/>
      <c r="GM21" s="13" t="s">
        <v>311</v>
      </c>
      <c r="GN21" s="22"/>
      <c r="GO21" s="22"/>
      <c r="GP21" s="22"/>
      <c r="GQ21" s="22"/>
      <c r="GR21" s="22"/>
      <c r="GS21" s="22"/>
      <c r="GT21" s="22"/>
      <c r="GU21" s="22"/>
      <c r="GV21" s="22"/>
      <c r="GW21" s="22"/>
      <c r="GX21" s="22"/>
      <c r="GY21" s="22"/>
      <c r="GZ21" s="22"/>
      <c r="HA21" s="18"/>
      <c r="HD21" s="13" t="s">
        <v>342</v>
      </c>
      <c r="HV21" s="9">
        <v>19</v>
      </c>
    </row>
    <row r="22" spans="1:230" ht="15" x14ac:dyDescent="0.25">
      <c r="A22" s="10">
        <f t="shared" si="0"/>
        <v>20</v>
      </c>
      <c r="B22" t="s">
        <v>343</v>
      </c>
      <c r="C22" t="s">
        <v>343</v>
      </c>
      <c r="D22" s="10"/>
      <c r="E22" s="10"/>
      <c r="F22" s="10"/>
      <c r="G22" s="10"/>
      <c r="H22" t="s">
        <v>269</v>
      </c>
      <c r="N22" s="9">
        <v>20</v>
      </c>
      <c r="AX22" s="17"/>
      <c r="AY22" s="13" t="s">
        <v>317</v>
      </c>
      <c r="AZ22" s="22"/>
      <c r="BA22" s="22"/>
      <c r="BB22" s="22"/>
      <c r="BC22" s="22"/>
      <c r="BD22" s="22"/>
      <c r="BE22" s="22"/>
      <c r="BF22" s="22"/>
      <c r="BG22" s="22"/>
      <c r="BH22" s="22"/>
      <c r="BI22" s="22"/>
      <c r="BJ22" s="22"/>
      <c r="BK22" s="22"/>
      <c r="BL22" s="22"/>
      <c r="BM22" s="18"/>
      <c r="BP22" s="13" t="s">
        <v>344</v>
      </c>
      <c r="CH22" s="9">
        <v>20</v>
      </c>
      <c r="DR22" s="17"/>
      <c r="DS22" s="13" t="s">
        <v>317</v>
      </c>
      <c r="DT22" s="22"/>
      <c r="DU22" s="22"/>
      <c r="DV22" s="22"/>
      <c r="DW22" s="22"/>
      <c r="DX22" s="22"/>
      <c r="DY22" s="22"/>
      <c r="DZ22" s="22"/>
      <c r="EA22" s="22"/>
      <c r="EB22" s="22"/>
      <c r="EC22" s="22"/>
      <c r="ED22" s="22"/>
      <c r="EE22" s="22"/>
      <c r="EF22" s="22"/>
      <c r="EG22" s="18"/>
      <c r="EJ22" s="13" t="s">
        <v>344</v>
      </c>
      <c r="FB22" s="9">
        <v>20</v>
      </c>
      <c r="GL22" s="17"/>
      <c r="GM22" s="13" t="s">
        <v>317</v>
      </c>
      <c r="GN22" s="22"/>
      <c r="GO22" s="22"/>
      <c r="GP22" s="22"/>
      <c r="GQ22" s="22"/>
      <c r="GR22" s="22"/>
      <c r="GS22" s="22"/>
      <c r="GT22" s="22"/>
      <c r="GU22" s="22"/>
      <c r="GV22" s="22"/>
      <c r="GW22" s="22"/>
      <c r="GX22" s="22"/>
      <c r="GY22" s="22"/>
      <c r="GZ22" s="22"/>
      <c r="HA22" s="18"/>
      <c r="HD22" s="13" t="s">
        <v>344</v>
      </c>
      <c r="HV22" s="9">
        <v>20</v>
      </c>
    </row>
    <row r="23" spans="1:230" ht="15" x14ac:dyDescent="0.25">
      <c r="A23" s="10">
        <f t="shared" si="0"/>
        <v>21</v>
      </c>
      <c r="B23" t="s">
        <v>345</v>
      </c>
      <c r="C23" t="s">
        <v>345</v>
      </c>
      <c r="D23" s="10"/>
      <c r="E23" s="10"/>
      <c r="F23" s="10"/>
      <c r="G23" s="10"/>
      <c r="H23" t="s">
        <v>269</v>
      </c>
      <c r="N23" s="9">
        <v>21</v>
      </c>
      <c r="P23" s="13" t="s">
        <v>346</v>
      </c>
      <c r="AX23" s="17"/>
      <c r="AY23" s="13" t="s">
        <v>323</v>
      </c>
      <c r="AZ23" s="22"/>
      <c r="BA23" s="22"/>
      <c r="BB23" s="22"/>
      <c r="BC23" s="22"/>
      <c r="BD23" s="22"/>
      <c r="BE23" s="22"/>
      <c r="BF23" s="22"/>
      <c r="BG23" s="22"/>
      <c r="BH23" s="22"/>
      <c r="BI23" s="22"/>
      <c r="BJ23" s="22"/>
      <c r="BK23" s="22"/>
      <c r="BL23" s="22"/>
      <c r="BM23" s="18"/>
      <c r="CH23" s="9">
        <v>21</v>
      </c>
      <c r="CJ23" s="13" t="s">
        <v>346</v>
      </c>
      <c r="DR23" s="17"/>
      <c r="DS23" s="13" t="s">
        <v>323</v>
      </c>
      <c r="DT23" s="22"/>
      <c r="DU23" s="22"/>
      <c r="DV23" s="22"/>
      <c r="DW23" s="22"/>
      <c r="DX23" s="22"/>
      <c r="DY23" s="22"/>
      <c r="DZ23" s="22"/>
      <c r="EA23" s="22"/>
      <c r="EB23" s="22"/>
      <c r="EC23" s="22"/>
      <c r="ED23" s="22"/>
      <c r="EE23" s="22"/>
      <c r="EF23" s="22"/>
      <c r="EG23" s="18"/>
      <c r="FB23" s="9">
        <v>21</v>
      </c>
      <c r="FD23" s="13" t="s">
        <v>346</v>
      </c>
      <c r="GL23" s="17"/>
      <c r="GM23" s="13" t="s">
        <v>323</v>
      </c>
      <c r="GN23" s="22"/>
      <c r="GO23" s="22"/>
      <c r="GP23" s="22"/>
      <c r="GQ23" s="22"/>
      <c r="GR23" s="22"/>
      <c r="GS23" s="22"/>
      <c r="GT23" s="22"/>
      <c r="GU23" s="22"/>
      <c r="GV23" s="22"/>
      <c r="GW23" s="22"/>
      <c r="GX23" s="22"/>
      <c r="GY23" s="22"/>
      <c r="GZ23" s="22"/>
      <c r="HA23" s="18"/>
      <c r="HV23" s="9">
        <v>21</v>
      </c>
    </row>
    <row r="24" spans="1:230" ht="15" x14ac:dyDescent="0.25">
      <c r="A24" s="10">
        <f t="shared" si="0"/>
        <v>22</v>
      </c>
      <c r="B24" t="s">
        <v>347</v>
      </c>
      <c r="C24" t="s">
        <v>347</v>
      </c>
      <c r="D24" s="10"/>
      <c r="E24" s="10"/>
      <c r="F24" s="10"/>
      <c r="G24" s="10"/>
      <c r="H24" t="s">
        <v>269</v>
      </c>
      <c r="N24" s="9">
        <v>22</v>
      </c>
      <c r="Q24" s="13" t="s">
        <v>348</v>
      </c>
      <c r="AX24" s="17"/>
      <c r="AY24" s="13" t="s">
        <v>326</v>
      </c>
      <c r="AZ24" s="22"/>
      <c r="BA24" s="22"/>
      <c r="BB24" s="22"/>
      <c r="BC24" s="22"/>
      <c r="BD24" s="22"/>
      <c r="BE24" s="22"/>
      <c r="BF24" s="22"/>
      <c r="BG24" s="22"/>
      <c r="BH24" s="22"/>
      <c r="BI24" s="22"/>
      <c r="BJ24" s="22"/>
      <c r="BK24" s="22"/>
      <c r="BL24" s="22"/>
      <c r="BM24" s="18"/>
      <c r="BP24" s="13" t="s">
        <v>349</v>
      </c>
      <c r="CH24" s="9">
        <v>22</v>
      </c>
      <c r="CK24" s="13" t="s">
        <v>348</v>
      </c>
      <c r="DR24" s="17"/>
      <c r="DS24" s="13" t="s">
        <v>326</v>
      </c>
      <c r="DT24" s="22"/>
      <c r="DU24" s="22"/>
      <c r="DV24" s="22"/>
      <c r="DW24" s="22"/>
      <c r="DX24" s="22"/>
      <c r="DY24" s="22"/>
      <c r="DZ24" s="22"/>
      <c r="EA24" s="22"/>
      <c r="EB24" s="22"/>
      <c r="EC24" s="22"/>
      <c r="ED24" s="22"/>
      <c r="EE24" s="22"/>
      <c r="EF24" s="22"/>
      <c r="EG24" s="18"/>
      <c r="EJ24" s="13" t="s">
        <v>349</v>
      </c>
      <c r="FB24" s="9">
        <v>22</v>
      </c>
      <c r="FE24" s="13" t="s">
        <v>348</v>
      </c>
      <c r="GL24" s="17"/>
      <c r="GM24" s="13" t="s">
        <v>326</v>
      </c>
      <c r="GN24" s="22"/>
      <c r="GO24" s="22"/>
      <c r="GP24" s="22"/>
      <c r="GQ24" s="22"/>
      <c r="GR24" s="22"/>
      <c r="GS24" s="22"/>
      <c r="GT24" s="22"/>
      <c r="GU24" s="22"/>
      <c r="GV24" s="22"/>
      <c r="GW24" s="22"/>
      <c r="GX24" s="22"/>
      <c r="GY24" s="22"/>
      <c r="GZ24" s="22"/>
      <c r="HA24" s="18"/>
      <c r="HD24" s="13" t="s">
        <v>349</v>
      </c>
      <c r="HV24" s="9">
        <v>22</v>
      </c>
    </row>
    <row r="25" spans="1:230" ht="15" x14ac:dyDescent="0.25">
      <c r="A25" s="10">
        <f t="shared" si="0"/>
        <v>23</v>
      </c>
      <c r="B25" t="s">
        <v>350</v>
      </c>
      <c r="C25" t="s">
        <v>350</v>
      </c>
      <c r="D25" s="10"/>
      <c r="E25" s="10"/>
      <c r="F25" s="10"/>
      <c r="G25" s="10"/>
      <c r="H25" t="s">
        <v>269</v>
      </c>
      <c r="N25" s="9">
        <v>23</v>
      </c>
      <c r="R25" s="13" t="s">
        <v>351</v>
      </c>
      <c r="AX25" s="17"/>
      <c r="AY25" s="13" t="s">
        <v>329</v>
      </c>
      <c r="AZ25" s="22"/>
      <c r="BA25" s="22"/>
      <c r="BB25" s="22"/>
      <c r="BC25" s="22"/>
      <c r="BD25" s="22"/>
      <c r="BE25" s="22"/>
      <c r="BF25" s="22"/>
      <c r="BG25" s="22"/>
      <c r="BH25" s="22"/>
      <c r="BI25" s="22"/>
      <c r="BJ25" s="22"/>
      <c r="BK25" s="22"/>
      <c r="BL25" s="22"/>
      <c r="BM25" s="18"/>
      <c r="BP25" s="13" t="s">
        <v>352</v>
      </c>
      <c r="CH25" s="9">
        <v>23</v>
      </c>
      <c r="CL25" s="13" t="s">
        <v>351</v>
      </c>
      <c r="DR25" s="17"/>
      <c r="DS25" s="13" t="s">
        <v>329</v>
      </c>
      <c r="DT25" s="22"/>
      <c r="DU25" s="22"/>
      <c r="DV25" s="22"/>
      <c r="DW25" s="22"/>
      <c r="DX25" s="22"/>
      <c r="DY25" s="22"/>
      <c r="DZ25" s="22"/>
      <c r="EA25" s="22"/>
      <c r="EB25" s="22"/>
      <c r="EC25" s="22"/>
      <c r="ED25" s="22"/>
      <c r="EE25" s="22"/>
      <c r="EF25" s="22"/>
      <c r="EG25" s="18"/>
      <c r="EJ25" s="13" t="s">
        <v>352</v>
      </c>
      <c r="FB25" s="9">
        <v>23</v>
      </c>
      <c r="FF25" s="13" t="s">
        <v>351</v>
      </c>
      <c r="GL25" s="17"/>
      <c r="GM25" s="13" t="s">
        <v>329</v>
      </c>
      <c r="GN25" s="22"/>
      <c r="GO25" s="22"/>
      <c r="GP25" s="22"/>
      <c r="GQ25" s="22"/>
      <c r="GR25" s="22"/>
      <c r="GS25" s="22"/>
      <c r="GT25" s="22"/>
      <c r="GU25" s="22"/>
      <c r="GV25" s="22"/>
      <c r="GW25" s="22"/>
      <c r="GX25" s="22"/>
      <c r="GY25" s="22"/>
      <c r="GZ25" s="22"/>
      <c r="HA25" s="18"/>
      <c r="HD25" s="13" t="s">
        <v>352</v>
      </c>
      <c r="HV25" s="9">
        <v>23</v>
      </c>
    </row>
    <row r="26" spans="1:230" ht="15" x14ac:dyDescent="0.25">
      <c r="A26" s="10">
        <f t="shared" si="0"/>
        <v>24</v>
      </c>
      <c r="B26" t="s">
        <v>353</v>
      </c>
      <c r="C26" t="s">
        <v>353</v>
      </c>
      <c r="D26" s="10"/>
      <c r="E26" s="10"/>
      <c r="F26" s="10"/>
      <c r="G26" s="10"/>
      <c r="H26" t="s">
        <v>269</v>
      </c>
      <c r="N26" s="9">
        <v>24</v>
      </c>
      <c r="R26" s="13" t="s">
        <v>354</v>
      </c>
      <c r="AX26" s="17"/>
      <c r="AY26" s="13" t="s">
        <v>332</v>
      </c>
      <c r="AZ26" s="22"/>
      <c r="BA26" s="22"/>
      <c r="BB26" s="22"/>
      <c r="BC26" s="22"/>
      <c r="BD26" s="22"/>
      <c r="BE26" s="22"/>
      <c r="BF26" s="22"/>
      <c r="BG26" s="22"/>
      <c r="BH26" s="22"/>
      <c r="BI26" s="22"/>
      <c r="BJ26" s="22"/>
      <c r="BK26" s="22"/>
      <c r="BL26" s="22"/>
      <c r="BM26" s="18"/>
      <c r="BP26" s="13" t="s">
        <v>355</v>
      </c>
      <c r="CH26" s="9">
        <v>24</v>
      </c>
      <c r="CL26" s="13" t="s">
        <v>354</v>
      </c>
      <c r="DR26" s="17"/>
      <c r="DS26" s="13" t="s">
        <v>332</v>
      </c>
      <c r="DT26" s="22"/>
      <c r="DU26" s="22"/>
      <c r="DV26" s="22"/>
      <c r="DW26" s="22"/>
      <c r="DX26" s="22"/>
      <c r="DY26" s="22"/>
      <c r="DZ26" s="22"/>
      <c r="EA26" s="22"/>
      <c r="EB26" s="22"/>
      <c r="EC26" s="22"/>
      <c r="ED26" s="22"/>
      <c r="EE26" s="22"/>
      <c r="EF26" s="22"/>
      <c r="EG26" s="18"/>
      <c r="EJ26" s="13" t="s">
        <v>355</v>
      </c>
      <c r="FB26" s="9">
        <v>24</v>
      </c>
      <c r="FF26" s="13" t="s">
        <v>354</v>
      </c>
      <c r="GL26" s="17"/>
      <c r="GM26" s="13" t="s">
        <v>332</v>
      </c>
      <c r="GN26" s="22"/>
      <c r="GO26" s="22"/>
      <c r="GP26" s="22"/>
      <c r="GQ26" s="22"/>
      <c r="GR26" s="22"/>
      <c r="GS26" s="22"/>
      <c r="GT26" s="22"/>
      <c r="GU26" s="22"/>
      <c r="GV26" s="22"/>
      <c r="GW26" s="22"/>
      <c r="GX26" s="22"/>
      <c r="GY26" s="22"/>
      <c r="GZ26" s="22"/>
      <c r="HA26" s="18"/>
      <c r="HD26" s="13" t="s">
        <v>355</v>
      </c>
      <c r="HV26" s="9">
        <v>24</v>
      </c>
    </row>
    <row r="27" spans="1:230" ht="15" x14ac:dyDescent="0.25">
      <c r="A27" s="10">
        <f t="shared" si="0"/>
        <v>25</v>
      </c>
      <c r="B27" t="s">
        <v>356</v>
      </c>
      <c r="C27" t="s">
        <v>356</v>
      </c>
      <c r="D27" s="10"/>
      <c r="E27" s="10"/>
      <c r="F27" s="10"/>
      <c r="G27" s="10"/>
      <c r="H27" t="s">
        <v>269</v>
      </c>
      <c r="N27" s="9">
        <v>25</v>
      </c>
      <c r="R27" s="13" t="s">
        <v>357</v>
      </c>
      <c r="AX27" s="17"/>
      <c r="AY27" s="13" t="s">
        <v>358</v>
      </c>
      <c r="AZ27" s="23"/>
      <c r="BA27" s="23"/>
      <c r="BB27" s="23"/>
      <c r="BC27" s="23"/>
      <c r="BD27" s="23"/>
      <c r="BE27" s="23"/>
      <c r="BF27" s="23"/>
      <c r="BG27" s="23"/>
      <c r="BH27" s="23"/>
      <c r="BI27" s="23"/>
      <c r="BJ27" s="23"/>
      <c r="BK27" s="23"/>
      <c r="BL27" s="23"/>
      <c r="BM27" s="18"/>
      <c r="BP27" s="13" t="s">
        <v>359</v>
      </c>
      <c r="CH27" s="9">
        <v>25</v>
      </c>
      <c r="CL27" s="13" t="s">
        <v>357</v>
      </c>
      <c r="DR27" s="17"/>
      <c r="DS27" s="13" t="s">
        <v>358</v>
      </c>
      <c r="DT27" s="23"/>
      <c r="DU27" s="23"/>
      <c r="DV27" s="23"/>
      <c r="DW27" s="23"/>
      <c r="DX27" s="23"/>
      <c r="DY27" s="23"/>
      <c r="DZ27" s="23"/>
      <c r="EA27" s="23"/>
      <c r="EB27" s="23"/>
      <c r="EC27" s="23"/>
      <c r="ED27" s="23"/>
      <c r="EE27" s="23"/>
      <c r="EF27" s="23"/>
      <c r="EG27" s="18"/>
      <c r="EJ27" s="13" t="s">
        <v>359</v>
      </c>
      <c r="FB27" s="9">
        <v>25</v>
      </c>
      <c r="FF27" s="13" t="s">
        <v>357</v>
      </c>
      <c r="GL27" s="17"/>
      <c r="GM27" s="13" t="s">
        <v>358</v>
      </c>
      <c r="GN27" s="23"/>
      <c r="GO27" s="23"/>
      <c r="GP27" s="23"/>
      <c r="GQ27" s="23"/>
      <c r="GR27" s="23"/>
      <c r="GS27" s="23"/>
      <c r="GT27" s="23"/>
      <c r="GU27" s="23"/>
      <c r="GV27" s="23"/>
      <c r="GW27" s="23"/>
      <c r="GX27" s="23"/>
      <c r="GY27" s="23"/>
      <c r="GZ27" s="23"/>
      <c r="HA27" s="18"/>
      <c r="HD27" s="13" t="s">
        <v>359</v>
      </c>
      <c r="HV27" s="9">
        <v>25</v>
      </c>
    </row>
    <row r="28" spans="1:230" ht="15" x14ac:dyDescent="0.25">
      <c r="A28" s="10">
        <f t="shared" si="0"/>
        <v>26</v>
      </c>
      <c r="B28" t="s">
        <v>360</v>
      </c>
      <c r="C28" t="s">
        <v>360</v>
      </c>
      <c r="D28" s="10"/>
      <c r="E28" s="10"/>
      <c r="F28" s="10"/>
      <c r="G28" s="10"/>
      <c r="H28" t="s">
        <v>269</v>
      </c>
      <c r="N28" s="9">
        <v>26</v>
      </c>
      <c r="R28" s="13" t="s">
        <v>361</v>
      </c>
      <c r="AX28" s="17"/>
      <c r="AY28" s="13" t="s">
        <v>304</v>
      </c>
      <c r="AZ28" s="23"/>
      <c r="BA28" s="23"/>
      <c r="BB28" s="23"/>
      <c r="BC28" s="23"/>
      <c r="BD28" s="23"/>
      <c r="BE28" s="23"/>
      <c r="BF28" s="23"/>
      <c r="BG28" s="23"/>
      <c r="BH28" s="23"/>
      <c r="BI28" s="23"/>
      <c r="BJ28" s="23"/>
      <c r="BK28" s="23"/>
      <c r="BL28" s="23"/>
      <c r="BM28" s="18"/>
      <c r="CH28" s="9">
        <v>26</v>
      </c>
      <c r="CL28" s="13" t="s">
        <v>361</v>
      </c>
      <c r="DR28" s="17"/>
      <c r="DS28" s="13" t="s">
        <v>304</v>
      </c>
      <c r="DT28" s="23"/>
      <c r="DU28" s="23"/>
      <c r="DV28" s="23"/>
      <c r="DW28" s="23"/>
      <c r="DX28" s="23"/>
      <c r="DY28" s="23"/>
      <c r="DZ28" s="23"/>
      <c r="EA28" s="23"/>
      <c r="EB28" s="23"/>
      <c r="EC28" s="23"/>
      <c r="ED28" s="23"/>
      <c r="EE28" s="23"/>
      <c r="EF28" s="23"/>
      <c r="EG28" s="18"/>
      <c r="FB28" s="9">
        <v>26</v>
      </c>
      <c r="FF28" s="13" t="s">
        <v>361</v>
      </c>
      <c r="GL28" s="17"/>
      <c r="GM28" s="13" t="s">
        <v>304</v>
      </c>
      <c r="GN28" s="23"/>
      <c r="GO28" s="23"/>
      <c r="GP28" s="23"/>
      <c r="GQ28" s="23"/>
      <c r="GR28" s="23"/>
      <c r="GS28" s="23"/>
      <c r="GT28" s="23"/>
      <c r="GU28" s="23"/>
      <c r="GV28" s="23"/>
      <c r="GW28" s="23"/>
      <c r="GX28" s="23"/>
      <c r="GY28" s="23"/>
      <c r="GZ28" s="23"/>
      <c r="HA28" s="18"/>
      <c r="HV28" s="9">
        <v>26</v>
      </c>
    </row>
    <row r="29" spans="1:230" ht="15" x14ac:dyDescent="0.25">
      <c r="A29" s="10">
        <f t="shared" si="0"/>
        <v>27</v>
      </c>
      <c r="B29" t="s">
        <v>362</v>
      </c>
      <c r="C29" t="s">
        <v>362</v>
      </c>
      <c r="D29" s="10"/>
      <c r="E29" s="10"/>
      <c r="F29" s="10"/>
      <c r="G29" s="10"/>
      <c r="H29" t="s">
        <v>269</v>
      </c>
      <c r="N29" s="9">
        <v>27</v>
      </c>
      <c r="R29" s="13" t="s">
        <v>363</v>
      </c>
      <c r="AX29" s="17"/>
      <c r="AY29" s="13" t="s">
        <v>311</v>
      </c>
      <c r="AZ29" s="23"/>
      <c r="BA29" s="23"/>
      <c r="BB29" s="23"/>
      <c r="BC29" s="23"/>
      <c r="BD29" s="23"/>
      <c r="BE29" s="23"/>
      <c r="BF29" s="23"/>
      <c r="BG29" s="23"/>
      <c r="BH29" s="23"/>
      <c r="BI29" s="23"/>
      <c r="BJ29" s="23"/>
      <c r="BK29" s="23"/>
      <c r="BL29" s="23"/>
      <c r="BM29" s="18"/>
      <c r="BP29" s="21" t="s">
        <v>364</v>
      </c>
      <c r="CH29" s="9">
        <v>27</v>
      </c>
      <c r="CL29" s="13" t="s">
        <v>363</v>
      </c>
      <c r="DR29" s="17"/>
      <c r="DS29" s="13" t="s">
        <v>311</v>
      </c>
      <c r="DT29" s="23"/>
      <c r="DU29" s="23"/>
      <c r="DV29" s="23"/>
      <c r="DW29" s="23"/>
      <c r="DX29" s="23"/>
      <c r="DY29" s="23"/>
      <c r="DZ29" s="23"/>
      <c r="EA29" s="23"/>
      <c r="EB29" s="23"/>
      <c r="EC29" s="23"/>
      <c r="ED29" s="23"/>
      <c r="EE29" s="23"/>
      <c r="EF29" s="23"/>
      <c r="EG29" s="18"/>
      <c r="EJ29" s="21" t="s">
        <v>364</v>
      </c>
      <c r="FB29" s="9">
        <v>27</v>
      </c>
      <c r="FF29" s="13" t="s">
        <v>363</v>
      </c>
      <c r="GL29" s="17"/>
      <c r="GM29" s="13" t="s">
        <v>311</v>
      </c>
      <c r="GN29" s="23"/>
      <c r="GO29" s="23"/>
      <c r="GP29" s="23"/>
      <c r="GQ29" s="23"/>
      <c r="GR29" s="23"/>
      <c r="GS29" s="23"/>
      <c r="GT29" s="23"/>
      <c r="GU29" s="23"/>
      <c r="GV29" s="23"/>
      <c r="GW29" s="23"/>
      <c r="GX29" s="23"/>
      <c r="GY29" s="23"/>
      <c r="GZ29" s="23"/>
      <c r="HA29" s="18"/>
      <c r="HD29" s="21" t="s">
        <v>364</v>
      </c>
      <c r="HV29" s="9">
        <v>27</v>
      </c>
    </row>
    <row r="30" spans="1:230" ht="15" x14ac:dyDescent="0.25">
      <c r="A30" s="10">
        <f t="shared" si="0"/>
        <v>28</v>
      </c>
      <c r="B30" t="s">
        <v>365</v>
      </c>
      <c r="C30" t="s">
        <v>365</v>
      </c>
      <c r="D30" s="10"/>
      <c r="E30" s="10"/>
      <c r="F30" s="10"/>
      <c r="G30" s="10"/>
      <c r="H30" t="s">
        <v>269</v>
      </c>
      <c r="N30" s="9">
        <v>28</v>
      </c>
      <c r="R30" s="13" t="s">
        <v>366</v>
      </c>
      <c r="AX30" s="17"/>
      <c r="AY30" s="13" t="s">
        <v>317</v>
      </c>
      <c r="AZ30" s="23"/>
      <c r="BA30" s="23"/>
      <c r="BB30" s="23"/>
      <c r="BC30" s="23"/>
      <c r="BD30" s="23"/>
      <c r="BE30" s="23"/>
      <c r="BF30" s="23"/>
      <c r="BG30" s="23"/>
      <c r="BH30" s="23"/>
      <c r="BI30" s="23"/>
      <c r="BJ30" s="23"/>
      <c r="BK30" s="23"/>
      <c r="BL30" s="23"/>
      <c r="BM30" s="18"/>
      <c r="CH30" s="9">
        <v>28</v>
      </c>
      <c r="CL30" s="13" t="s">
        <v>366</v>
      </c>
      <c r="DR30" s="17"/>
      <c r="DS30" s="13" t="s">
        <v>317</v>
      </c>
      <c r="DT30" s="23"/>
      <c r="DU30" s="23"/>
      <c r="DV30" s="23"/>
      <c r="DW30" s="23"/>
      <c r="DX30" s="23"/>
      <c r="DY30" s="23"/>
      <c r="DZ30" s="23"/>
      <c r="EA30" s="23"/>
      <c r="EB30" s="23"/>
      <c r="EC30" s="23"/>
      <c r="ED30" s="23"/>
      <c r="EE30" s="23"/>
      <c r="EF30" s="23"/>
      <c r="EG30" s="18"/>
      <c r="FB30" s="9">
        <v>28</v>
      </c>
      <c r="FF30" s="13" t="s">
        <v>366</v>
      </c>
      <c r="GL30" s="17"/>
      <c r="GM30" s="13" t="s">
        <v>317</v>
      </c>
      <c r="GN30" s="23"/>
      <c r="GO30" s="23"/>
      <c r="GP30" s="23"/>
      <c r="GQ30" s="23"/>
      <c r="GR30" s="23"/>
      <c r="GS30" s="23"/>
      <c r="GT30" s="23"/>
      <c r="GU30" s="23"/>
      <c r="GV30" s="23"/>
      <c r="GW30" s="23"/>
      <c r="GX30" s="23"/>
      <c r="GY30" s="23"/>
      <c r="GZ30" s="23"/>
      <c r="HA30" s="18"/>
      <c r="HV30" s="9">
        <v>28</v>
      </c>
    </row>
    <row r="31" spans="1:230" ht="15" x14ac:dyDescent="0.25">
      <c r="A31" s="10">
        <f t="shared" si="0"/>
        <v>29</v>
      </c>
      <c r="B31" t="s">
        <v>367</v>
      </c>
      <c r="C31" t="s">
        <v>367</v>
      </c>
      <c r="D31" s="10"/>
      <c r="E31" s="10"/>
      <c r="F31" s="10"/>
      <c r="G31" s="10"/>
      <c r="H31" t="s">
        <v>269</v>
      </c>
      <c r="N31" s="9">
        <v>29</v>
      </c>
      <c r="R31" s="13" t="s">
        <v>368</v>
      </c>
      <c r="AX31" s="17"/>
      <c r="AY31" s="13" t="s">
        <v>323</v>
      </c>
      <c r="AZ31" s="23"/>
      <c r="BA31" s="23"/>
      <c r="BB31" s="23"/>
      <c r="BC31" s="23"/>
      <c r="BD31" s="23"/>
      <c r="BE31" s="23"/>
      <c r="BF31" s="23"/>
      <c r="BG31" s="23"/>
      <c r="BH31" s="23"/>
      <c r="BI31" s="23"/>
      <c r="BJ31" s="23"/>
      <c r="BK31" s="23"/>
      <c r="BL31" s="23"/>
      <c r="BM31" s="18"/>
      <c r="BP31" s="13" t="s">
        <v>369</v>
      </c>
      <c r="CH31" s="9">
        <v>29</v>
      </c>
      <c r="CL31" s="13" t="s">
        <v>368</v>
      </c>
      <c r="DR31" s="17"/>
      <c r="DS31" s="13" t="s">
        <v>323</v>
      </c>
      <c r="DT31" s="23"/>
      <c r="DU31" s="23"/>
      <c r="DV31" s="23"/>
      <c r="DW31" s="23"/>
      <c r="DX31" s="23"/>
      <c r="DY31" s="23"/>
      <c r="DZ31" s="23"/>
      <c r="EA31" s="23"/>
      <c r="EB31" s="23"/>
      <c r="EC31" s="23"/>
      <c r="ED31" s="23"/>
      <c r="EE31" s="23"/>
      <c r="EF31" s="23"/>
      <c r="EG31" s="18"/>
      <c r="EJ31" s="13" t="s">
        <v>369</v>
      </c>
      <c r="FB31" s="9">
        <v>29</v>
      </c>
      <c r="FF31" s="13" t="s">
        <v>368</v>
      </c>
      <c r="GL31" s="17"/>
      <c r="GM31" s="13" t="s">
        <v>323</v>
      </c>
      <c r="GN31" s="23"/>
      <c r="GO31" s="23"/>
      <c r="GP31" s="23"/>
      <c r="GQ31" s="23"/>
      <c r="GR31" s="23"/>
      <c r="GS31" s="23"/>
      <c r="GT31" s="23"/>
      <c r="GU31" s="23"/>
      <c r="GV31" s="23"/>
      <c r="GW31" s="23"/>
      <c r="GX31" s="23"/>
      <c r="GY31" s="23"/>
      <c r="GZ31" s="23"/>
      <c r="HA31" s="18"/>
      <c r="HD31" s="13" t="s">
        <v>369</v>
      </c>
      <c r="HV31" s="9">
        <v>29</v>
      </c>
    </row>
    <row r="32" spans="1:230" ht="15" x14ac:dyDescent="0.25">
      <c r="A32" s="10">
        <f t="shared" si="0"/>
        <v>30</v>
      </c>
      <c r="B32" t="s">
        <v>370</v>
      </c>
      <c r="C32" t="s">
        <v>370</v>
      </c>
      <c r="D32" s="10"/>
      <c r="E32" s="10"/>
      <c r="F32" s="10"/>
      <c r="G32" s="10"/>
      <c r="H32" t="s">
        <v>269</v>
      </c>
      <c r="N32" s="9">
        <v>30</v>
      </c>
      <c r="AX32" s="17"/>
      <c r="AY32" s="13" t="s">
        <v>326</v>
      </c>
      <c r="AZ32" s="23"/>
      <c r="BA32" s="23"/>
      <c r="BB32" s="23"/>
      <c r="BC32" s="23"/>
      <c r="BD32" s="23"/>
      <c r="BE32" s="23"/>
      <c r="BF32" s="23"/>
      <c r="BG32" s="23"/>
      <c r="BH32" s="23"/>
      <c r="BI32" s="23"/>
      <c r="BJ32" s="23"/>
      <c r="BK32" s="23"/>
      <c r="BL32" s="23"/>
      <c r="BM32" s="18"/>
      <c r="BP32" s="21" t="s">
        <v>371</v>
      </c>
      <c r="CH32" s="9">
        <v>30</v>
      </c>
      <c r="DR32" s="17"/>
      <c r="DS32" s="13" t="s">
        <v>326</v>
      </c>
      <c r="DT32" s="23"/>
      <c r="DU32" s="23"/>
      <c r="DV32" s="23"/>
      <c r="DW32" s="23"/>
      <c r="DX32" s="23"/>
      <c r="DY32" s="23"/>
      <c r="DZ32" s="23"/>
      <c r="EA32" s="23"/>
      <c r="EB32" s="23"/>
      <c r="EC32" s="23"/>
      <c r="ED32" s="23"/>
      <c r="EE32" s="23"/>
      <c r="EF32" s="23"/>
      <c r="EG32" s="18"/>
      <c r="EJ32" s="21" t="s">
        <v>371</v>
      </c>
      <c r="FB32" s="9">
        <v>30</v>
      </c>
      <c r="GL32" s="17"/>
      <c r="GM32" s="13" t="s">
        <v>326</v>
      </c>
      <c r="GN32" s="23"/>
      <c r="GO32" s="23"/>
      <c r="GP32" s="23"/>
      <c r="GQ32" s="23"/>
      <c r="GR32" s="23"/>
      <c r="GS32" s="23"/>
      <c r="GT32" s="23"/>
      <c r="GU32" s="23"/>
      <c r="GV32" s="23"/>
      <c r="GW32" s="23"/>
      <c r="GX32" s="23"/>
      <c r="GY32" s="23"/>
      <c r="GZ32" s="23"/>
      <c r="HA32" s="18"/>
      <c r="HD32" s="21" t="s">
        <v>371</v>
      </c>
      <c r="HV32" s="9">
        <v>30</v>
      </c>
    </row>
    <row r="33" spans="1:230" ht="15" x14ac:dyDescent="0.25">
      <c r="A33" s="10">
        <f t="shared" si="0"/>
        <v>31</v>
      </c>
      <c r="B33" t="s">
        <v>372</v>
      </c>
      <c r="C33" t="s">
        <v>372</v>
      </c>
      <c r="D33" s="10"/>
      <c r="E33" s="10"/>
      <c r="F33" s="10"/>
      <c r="G33" s="10"/>
      <c r="H33" t="s">
        <v>269</v>
      </c>
      <c r="N33" s="9">
        <v>31</v>
      </c>
      <c r="Q33" s="13" t="s">
        <v>373</v>
      </c>
      <c r="AX33" s="17"/>
      <c r="AY33" s="13" t="s">
        <v>329</v>
      </c>
      <c r="AZ33" s="23"/>
      <c r="BA33" s="23"/>
      <c r="BB33" s="23"/>
      <c r="BC33" s="23"/>
      <c r="BD33" s="23"/>
      <c r="BE33" s="23"/>
      <c r="BF33" s="23"/>
      <c r="BG33" s="23"/>
      <c r="BH33" s="23"/>
      <c r="BI33" s="23"/>
      <c r="BJ33" s="23"/>
      <c r="BK33" s="23"/>
      <c r="BL33" s="23"/>
      <c r="BM33" s="18"/>
      <c r="CH33" s="9">
        <v>31</v>
      </c>
      <c r="CK33" s="13" t="s">
        <v>373</v>
      </c>
      <c r="DR33" s="17"/>
      <c r="DS33" s="13" t="s">
        <v>329</v>
      </c>
      <c r="DT33" s="23"/>
      <c r="DU33" s="23"/>
      <c r="DV33" s="23"/>
      <c r="DW33" s="23"/>
      <c r="DX33" s="23"/>
      <c r="DY33" s="23"/>
      <c r="DZ33" s="23"/>
      <c r="EA33" s="23"/>
      <c r="EB33" s="23"/>
      <c r="EC33" s="23"/>
      <c r="ED33" s="23"/>
      <c r="EE33" s="23"/>
      <c r="EF33" s="23"/>
      <c r="EG33" s="18"/>
      <c r="FB33" s="9">
        <v>31</v>
      </c>
      <c r="FE33" s="13" t="s">
        <v>373</v>
      </c>
      <c r="GL33" s="17"/>
      <c r="GM33" s="13" t="s">
        <v>329</v>
      </c>
      <c r="GN33" s="23"/>
      <c r="GO33" s="23"/>
      <c r="GP33" s="23"/>
      <c r="GQ33" s="23"/>
      <c r="GR33" s="23"/>
      <c r="GS33" s="23"/>
      <c r="GT33" s="23"/>
      <c r="GU33" s="23"/>
      <c r="GV33" s="23"/>
      <c r="GW33" s="23"/>
      <c r="GX33" s="23"/>
      <c r="GY33" s="23"/>
      <c r="GZ33" s="23"/>
      <c r="HA33" s="18"/>
      <c r="HV33" s="9">
        <v>31</v>
      </c>
    </row>
    <row r="34" spans="1:230" ht="15" x14ac:dyDescent="0.25">
      <c r="A34" s="10">
        <f t="shared" si="0"/>
        <v>32</v>
      </c>
      <c r="B34" t="s">
        <v>374</v>
      </c>
      <c r="C34" t="s">
        <v>374</v>
      </c>
      <c r="D34" s="10"/>
      <c r="E34" s="10"/>
      <c r="F34" s="10"/>
      <c r="G34" s="10"/>
      <c r="H34" t="s">
        <v>269</v>
      </c>
      <c r="N34" s="9">
        <v>32</v>
      </c>
      <c r="AX34" s="17"/>
      <c r="AY34" s="13" t="s">
        <v>332</v>
      </c>
      <c r="AZ34" s="23"/>
      <c r="BA34" s="23"/>
      <c r="BB34" s="23"/>
      <c r="BC34" s="23"/>
      <c r="BD34" s="23"/>
      <c r="BE34" s="23"/>
      <c r="BF34" s="23"/>
      <c r="BG34" s="23"/>
      <c r="BH34" s="23"/>
      <c r="BI34" s="23"/>
      <c r="BJ34" s="23"/>
      <c r="BK34" s="23"/>
      <c r="BL34" s="23"/>
      <c r="BM34" s="18"/>
      <c r="BP34" s="13" t="s">
        <v>375</v>
      </c>
      <c r="CH34" s="9">
        <v>32</v>
      </c>
      <c r="DR34" s="17"/>
      <c r="DS34" s="13" t="s">
        <v>332</v>
      </c>
      <c r="DT34" s="23"/>
      <c r="DU34" s="23"/>
      <c r="DV34" s="23"/>
      <c r="DW34" s="23"/>
      <c r="DX34" s="23"/>
      <c r="DY34" s="23"/>
      <c r="DZ34" s="23"/>
      <c r="EA34" s="23"/>
      <c r="EB34" s="23"/>
      <c r="EC34" s="23"/>
      <c r="ED34" s="23"/>
      <c r="EE34" s="23"/>
      <c r="EF34" s="23"/>
      <c r="EG34" s="18"/>
      <c r="EJ34" s="13" t="s">
        <v>375</v>
      </c>
      <c r="FB34" s="9">
        <v>32</v>
      </c>
      <c r="GL34" s="17"/>
      <c r="GM34" s="13" t="s">
        <v>332</v>
      </c>
      <c r="GN34" s="23"/>
      <c r="GO34" s="23"/>
      <c r="GP34" s="23"/>
      <c r="GQ34" s="23"/>
      <c r="GR34" s="23"/>
      <c r="GS34" s="23"/>
      <c r="GT34" s="23"/>
      <c r="GU34" s="23"/>
      <c r="GV34" s="23"/>
      <c r="GW34" s="23"/>
      <c r="GX34" s="23"/>
      <c r="GY34" s="23"/>
      <c r="GZ34" s="23"/>
      <c r="HA34" s="18"/>
      <c r="HD34" s="13" t="s">
        <v>375</v>
      </c>
      <c r="HV34" s="9">
        <v>32</v>
      </c>
    </row>
    <row r="35" spans="1:230" ht="15" x14ac:dyDescent="0.25">
      <c r="A35" s="10">
        <f t="shared" ref="A35:A66" si="1">ROW() - 2</f>
        <v>33</v>
      </c>
      <c r="B35" t="s">
        <v>376</v>
      </c>
      <c r="C35" t="s">
        <v>376</v>
      </c>
      <c r="D35" s="10"/>
      <c r="E35" s="10"/>
      <c r="F35" s="10"/>
      <c r="G35" s="10"/>
      <c r="H35" t="s">
        <v>269</v>
      </c>
      <c r="N35" s="9">
        <v>33</v>
      </c>
      <c r="AX35" s="17"/>
      <c r="AY35" s="13" t="s">
        <v>377</v>
      </c>
      <c r="BM35" s="18"/>
      <c r="CH35" s="9">
        <v>33</v>
      </c>
      <c r="DR35" s="17"/>
      <c r="DS35" s="13" t="s">
        <v>377</v>
      </c>
      <c r="EG35" s="18"/>
      <c r="FB35" s="9">
        <v>33</v>
      </c>
      <c r="GL35" s="17"/>
      <c r="GM35" s="13" t="s">
        <v>377</v>
      </c>
      <c r="HA35" s="18"/>
      <c r="HV35" s="9">
        <v>33</v>
      </c>
    </row>
    <row r="36" spans="1:230" ht="15" x14ac:dyDescent="0.25">
      <c r="A36" s="10">
        <f t="shared" si="1"/>
        <v>34</v>
      </c>
      <c r="B36" t="s">
        <v>378</v>
      </c>
      <c r="C36" t="s">
        <v>378</v>
      </c>
      <c r="D36" s="10"/>
      <c r="E36" s="10"/>
      <c r="F36" s="10"/>
      <c r="G36" s="10"/>
      <c r="H36" t="s">
        <v>269</v>
      </c>
      <c r="N36" s="9">
        <v>34</v>
      </c>
      <c r="AX36" s="17"/>
      <c r="AY36" s="13" t="s">
        <v>379</v>
      </c>
      <c r="BM36" s="18"/>
      <c r="CH36" s="9">
        <v>34</v>
      </c>
      <c r="DR36" s="17"/>
      <c r="DS36" s="13" t="s">
        <v>379</v>
      </c>
      <c r="EG36" s="18"/>
      <c r="FB36" s="9">
        <v>34</v>
      </c>
      <c r="GL36" s="17"/>
      <c r="GM36" s="13" t="s">
        <v>379</v>
      </c>
      <c r="HA36" s="18"/>
      <c r="HV36" s="9">
        <v>34</v>
      </c>
    </row>
    <row r="37" spans="1:230" ht="15" x14ac:dyDescent="0.25">
      <c r="A37" s="10">
        <f t="shared" si="1"/>
        <v>35</v>
      </c>
      <c r="B37" t="s">
        <v>380</v>
      </c>
      <c r="C37" t="s">
        <v>380</v>
      </c>
      <c r="D37" s="10"/>
      <c r="E37" s="10"/>
      <c r="F37" s="10"/>
      <c r="G37" s="10"/>
      <c r="H37" t="s">
        <v>269</v>
      </c>
      <c r="N37" s="9">
        <v>35</v>
      </c>
      <c r="AX37" s="17"/>
      <c r="AY37" s="13" t="s">
        <v>381</v>
      </c>
      <c r="AZ37" s="24"/>
      <c r="BA37" s="24"/>
      <c r="BB37" s="24"/>
      <c r="BC37" s="24"/>
      <c r="BD37" s="24"/>
      <c r="BE37" s="24"/>
      <c r="BF37" s="24"/>
      <c r="BG37" s="24"/>
      <c r="BH37" s="24"/>
      <c r="BI37" s="24"/>
      <c r="BJ37" s="24"/>
      <c r="BK37" s="24"/>
      <c r="BL37" s="24"/>
      <c r="BM37" s="18"/>
      <c r="CH37" s="9">
        <v>35</v>
      </c>
      <c r="DR37" s="17"/>
      <c r="DS37" s="13" t="s">
        <v>381</v>
      </c>
      <c r="DT37" s="24"/>
      <c r="DU37" s="24"/>
      <c r="DV37" s="24"/>
      <c r="DW37" s="24"/>
      <c r="DX37" s="24"/>
      <c r="DY37" s="24"/>
      <c r="DZ37" s="24"/>
      <c r="EA37" s="24"/>
      <c r="EB37" s="24"/>
      <c r="EC37" s="24"/>
      <c r="ED37" s="24"/>
      <c r="EE37" s="24"/>
      <c r="EF37" s="24"/>
      <c r="EG37" s="18"/>
      <c r="FB37" s="9">
        <v>35</v>
      </c>
      <c r="GL37" s="17"/>
      <c r="GM37" s="13" t="s">
        <v>381</v>
      </c>
      <c r="GN37" s="24"/>
      <c r="GO37" s="24"/>
      <c r="GP37" s="24"/>
      <c r="GQ37" s="24"/>
      <c r="GR37" s="24"/>
      <c r="GS37" s="24"/>
      <c r="GT37" s="24"/>
      <c r="GU37" s="24"/>
      <c r="GV37" s="24"/>
      <c r="GW37" s="24"/>
      <c r="GX37" s="24"/>
      <c r="GY37" s="24"/>
      <c r="GZ37" s="24"/>
      <c r="HA37" s="18"/>
      <c r="HV37" s="9">
        <v>35</v>
      </c>
    </row>
    <row r="38" spans="1:230" ht="15" x14ac:dyDescent="0.25">
      <c r="A38" s="10">
        <f t="shared" si="1"/>
        <v>36</v>
      </c>
      <c r="B38" t="s">
        <v>382</v>
      </c>
      <c r="C38" t="s">
        <v>382</v>
      </c>
      <c r="D38" s="10"/>
      <c r="E38" s="10"/>
      <c r="F38" s="10"/>
      <c r="G38" s="10"/>
      <c r="H38" t="s">
        <v>269</v>
      </c>
      <c r="N38" s="9">
        <v>36</v>
      </c>
      <c r="AX38" s="17"/>
      <c r="AY38" s="13" t="s">
        <v>383</v>
      </c>
      <c r="AZ38" s="24"/>
      <c r="BA38" s="24"/>
      <c r="BB38" s="24"/>
      <c r="BC38" s="24"/>
      <c r="BD38" s="24"/>
      <c r="BE38" s="24"/>
      <c r="BF38" s="24"/>
      <c r="BG38" s="24"/>
      <c r="BH38" s="24"/>
      <c r="BI38" s="24"/>
      <c r="BJ38" s="24"/>
      <c r="BK38" s="24"/>
      <c r="BL38" s="24"/>
      <c r="BM38" s="18"/>
      <c r="CH38" s="9">
        <v>36</v>
      </c>
      <c r="DR38" s="17"/>
      <c r="DS38" s="13" t="s">
        <v>383</v>
      </c>
      <c r="DT38" s="24"/>
      <c r="DU38" s="24"/>
      <c r="DV38" s="24"/>
      <c r="DW38" s="24"/>
      <c r="DX38" s="24"/>
      <c r="DY38" s="24"/>
      <c r="DZ38" s="24"/>
      <c r="EA38" s="24"/>
      <c r="EB38" s="24"/>
      <c r="EC38" s="24"/>
      <c r="ED38" s="24"/>
      <c r="EE38" s="24"/>
      <c r="EF38" s="24"/>
      <c r="EG38" s="18"/>
      <c r="FB38" s="9">
        <v>36</v>
      </c>
      <c r="GL38" s="17"/>
      <c r="GM38" s="13" t="s">
        <v>383</v>
      </c>
      <c r="GN38" s="24"/>
      <c r="GO38" s="24"/>
      <c r="GP38" s="24"/>
      <c r="GQ38" s="24"/>
      <c r="GR38" s="24"/>
      <c r="GS38" s="24"/>
      <c r="GT38" s="24"/>
      <c r="GU38" s="24"/>
      <c r="GV38" s="24"/>
      <c r="GW38" s="24"/>
      <c r="GX38" s="24"/>
      <c r="GY38" s="24"/>
      <c r="GZ38" s="24"/>
      <c r="HA38" s="18"/>
      <c r="HV38" s="9">
        <v>36</v>
      </c>
    </row>
    <row r="39" spans="1:230" ht="15" x14ac:dyDescent="0.25">
      <c r="A39" s="10">
        <f t="shared" si="1"/>
        <v>37</v>
      </c>
      <c r="B39" t="s">
        <v>384</v>
      </c>
      <c r="C39" t="s">
        <v>384</v>
      </c>
      <c r="D39" s="10"/>
      <c r="E39" s="10"/>
      <c r="F39" s="10"/>
      <c r="G39" s="10"/>
      <c r="H39" t="s">
        <v>269</v>
      </c>
      <c r="N39" s="9">
        <v>37</v>
      </c>
      <c r="AX39" s="17"/>
      <c r="AY39" s="13" t="s">
        <v>385</v>
      </c>
      <c r="AZ39" s="24"/>
      <c r="BA39" s="24"/>
      <c r="BB39" s="24"/>
      <c r="BC39" s="24"/>
      <c r="BD39" s="24"/>
      <c r="BE39" s="24"/>
      <c r="BF39" s="24"/>
      <c r="BG39" s="24"/>
      <c r="BH39" s="24"/>
      <c r="BI39" s="24"/>
      <c r="BJ39" s="24"/>
      <c r="BK39" s="24"/>
      <c r="BL39" s="24"/>
      <c r="BM39" s="18"/>
      <c r="CH39" s="9">
        <v>37</v>
      </c>
      <c r="DR39" s="17"/>
      <c r="DS39" s="13" t="s">
        <v>385</v>
      </c>
      <c r="DT39" s="24"/>
      <c r="DU39" s="24"/>
      <c r="DV39" s="24"/>
      <c r="DW39" s="24"/>
      <c r="DX39" s="24"/>
      <c r="DY39" s="24"/>
      <c r="DZ39" s="24"/>
      <c r="EA39" s="24"/>
      <c r="EB39" s="24"/>
      <c r="EC39" s="24"/>
      <c r="ED39" s="24"/>
      <c r="EE39" s="24"/>
      <c r="EF39" s="24"/>
      <c r="EG39" s="18"/>
      <c r="FB39" s="9">
        <v>37</v>
      </c>
      <c r="GL39" s="17"/>
      <c r="GM39" s="13" t="s">
        <v>385</v>
      </c>
      <c r="GN39" s="24"/>
      <c r="GO39" s="24"/>
      <c r="GP39" s="24"/>
      <c r="GQ39" s="24"/>
      <c r="GR39" s="24"/>
      <c r="GS39" s="24"/>
      <c r="GT39" s="24"/>
      <c r="GU39" s="24"/>
      <c r="GV39" s="24"/>
      <c r="GW39" s="24"/>
      <c r="GX39" s="24"/>
      <c r="GY39" s="24"/>
      <c r="GZ39" s="24"/>
      <c r="HA39" s="18"/>
      <c r="HV39" s="9">
        <v>37</v>
      </c>
    </row>
    <row r="40" spans="1:230" ht="15" x14ac:dyDescent="0.25">
      <c r="A40" s="10">
        <f t="shared" si="1"/>
        <v>38</v>
      </c>
      <c r="B40" t="s">
        <v>386</v>
      </c>
      <c r="C40" t="s">
        <v>386</v>
      </c>
      <c r="D40" s="10"/>
      <c r="E40" s="10"/>
      <c r="F40" s="10"/>
      <c r="G40" s="10"/>
      <c r="H40" t="s">
        <v>269</v>
      </c>
      <c r="N40" s="9">
        <v>38</v>
      </c>
      <c r="AX40" s="17"/>
      <c r="AY40" s="13" t="s">
        <v>387</v>
      </c>
      <c r="AZ40" s="24"/>
      <c r="BA40" s="24"/>
      <c r="BB40" s="24"/>
      <c r="BC40" s="24"/>
      <c r="BD40" s="24"/>
      <c r="BE40" s="24"/>
      <c r="BF40" s="24"/>
      <c r="BG40" s="24"/>
      <c r="BH40" s="24"/>
      <c r="BI40" s="24"/>
      <c r="BJ40" s="24"/>
      <c r="BK40" s="24"/>
      <c r="BL40" s="24"/>
      <c r="BM40" s="18"/>
      <c r="CH40" s="9">
        <v>38</v>
      </c>
      <c r="DR40" s="17"/>
      <c r="DS40" s="13" t="s">
        <v>387</v>
      </c>
      <c r="DT40" s="24"/>
      <c r="DU40" s="24"/>
      <c r="DV40" s="24"/>
      <c r="DW40" s="24"/>
      <c r="DX40" s="24"/>
      <c r="DY40" s="24"/>
      <c r="DZ40" s="24"/>
      <c r="EA40" s="24"/>
      <c r="EB40" s="24"/>
      <c r="EC40" s="24"/>
      <c r="ED40" s="24"/>
      <c r="EE40" s="24"/>
      <c r="EF40" s="24"/>
      <c r="EG40" s="18"/>
      <c r="FB40" s="9">
        <v>38</v>
      </c>
      <c r="GL40" s="17"/>
      <c r="GM40" s="13" t="s">
        <v>387</v>
      </c>
      <c r="GN40" s="24"/>
      <c r="GO40" s="24"/>
      <c r="GP40" s="24"/>
      <c r="GQ40" s="24"/>
      <c r="GR40" s="24"/>
      <c r="GS40" s="24"/>
      <c r="GT40" s="24"/>
      <c r="GU40" s="24"/>
      <c r="GV40" s="24"/>
      <c r="GW40" s="24"/>
      <c r="GX40" s="24"/>
      <c r="GY40" s="24"/>
      <c r="GZ40" s="24"/>
      <c r="HA40" s="18"/>
      <c r="HV40" s="9">
        <v>38</v>
      </c>
    </row>
    <row r="41" spans="1:230" ht="15" x14ac:dyDescent="0.25">
      <c r="A41" s="10">
        <f t="shared" si="1"/>
        <v>39</v>
      </c>
      <c r="B41" t="s">
        <v>388</v>
      </c>
      <c r="C41" t="s">
        <v>388</v>
      </c>
      <c r="D41" s="10"/>
      <c r="E41" s="10"/>
      <c r="F41" s="10"/>
      <c r="G41" s="10"/>
      <c r="H41" t="s">
        <v>269</v>
      </c>
      <c r="N41" s="9">
        <v>39</v>
      </c>
      <c r="AX41" s="17"/>
      <c r="AY41" s="13" t="s">
        <v>389</v>
      </c>
      <c r="AZ41" s="24"/>
      <c r="BA41" s="24"/>
      <c r="BB41" s="24"/>
      <c r="BC41" s="24"/>
      <c r="BD41" s="24"/>
      <c r="BE41" s="24"/>
      <c r="BF41" s="24"/>
      <c r="BG41" s="24"/>
      <c r="BH41" s="24"/>
      <c r="BI41" s="24"/>
      <c r="BJ41" s="24"/>
      <c r="BK41" s="24"/>
      <c r="BL41" s="24"/>
      <c r="BM41" s="18"/>
      <c r="CH41" s="9">
        <v>39</v>
      </c>
      <c r="DR41" s="17"/>
      <c r="DS41" s="13" t="s">
        <v>389</v>
      </c>
      <c r="DT41" s="24"/>
      <c r="DU41" s="24"/>
      <c r="DV41" s="24"/>
      <c r="DW41" s="24"/>
      <c r="DX41" s="24"/>
      <c r="DY41" s="24"/>
      <c r="DZ41" s="24"/>
      <c r="EA41" s="24"/>
      <c r="EB41" s="24"/>
      <c r="EC41" s="24"/>
      <c r="ED41" s="24"/>
      <c r="EE41" s="24"/>
      <c r="EF41" s="24"/>
      <c r="EG41" s="18"/>
      <c r="FB41" s="9">
        <v>39</v>
      </c>
      <c r="GL41" s="17"/>
      <c r="GM41" s="13" t="s">
        <v>389</v>
      </c>
      <c r="GN41" s="24"/>
      <c r="GO41" s="24"/>
      <c r="GP41" s="24"/>
      <c r="GQ41" s="24"/>
      <c r="GR41" s="24"/>
      <c r="GS41" s="24"/>
      <c r="GT41" s="24"/>
      <c r="GU41" s="24"/>
      <c r="GV41" s="24"/>
      <c r="GW41" s="24"/>
      <c r="GX41" s="24"/>
      <c r="GY41" s="24"/>
      <c r="GZ41" s="24"/>
      <c r="HA41" s="18"/>
      <c r="HV41" s="9">
        <v>39</v>
      </c>
    </row>
    <row r="42" spans="1:230" ht="15" x14ac:dyDescent="0.25">
      <c r="A42" s="10">
        <f t="shared" si="1"/>
        <v>40</v>
      </c>
      <c r="B42" t="s">
        <v>390</v>
      </c>
      <c r="C42" t="s">
        <v>390</v>
      </c>
      <c r="D42" s="10"/>
      <c r="E42" s="10"/>
      <c r="F42" s="10"/>
      <c r="G42" s="10"/>
      <c r="H42" t="s">
        <v>269</v>
      </c>
      <c r="N42" s="9">
        <v>40</v>
      </c>
      <c r="AX42" s="17"/>
      <c r="AY42" s="13" t="s">
        <v>391</v>
      </c>
      <c r="AZ42" s="24"/>
      <c r="BA42" s="24"/>
      <c r="BB42" s="24"/>
      <c r="BC42" s="24"/>
      <c r="BD42" s="24"/>
      <c r="BE42" s="24"/>
      <c r="BF42" s="24"/>
      <c r="BG42" s="24"/>
      <c r="BH42" s="24"/>
      <c r="BI42" s="24"/>
      <c r="BJ42" s="24"/>
      <c r="BK42" s="24"/>
      <c r="BL42" s="24"/>
      <c r="BM42" s="18"/>
      <c r="CH42" s="9">
        <v>40</v>
      </c>
      <c r="DR42" s="17"/>
      <c r="DS42" s="13" t="s">
        <v>391</v>
      </c>
      <c r="DT42" s="24"/>
      <c r="DU42" s="24"/>
      <c r="DV42" s="24"/>
      <c r="DW42" s="24"/>
      <c r="DX42" s="24"/>
      <c r="DY42" s="24"/>
      <c r="DZ42" s="24"/>
      <c r="EA42" s="24"/>
      <c r="EB42" s="24"/>
      <c r="EC42" s="24"/>
      <c r="ED42" s="24"/>
      <c r="EE42" s="24"/>
      <c r="EF42" s="24"/>
      <c r="EG42" s="18"/>
      <c r="FB42" s="9">
        <v>40</v>
      </c>
      <c r="GL42" s="17"/>
      <c r="GM42" s="13" t="s">
        <v>391</v>
      </c>
      <c r="GN42" s="24"/>
      <c r="GO42" s="24"/>
      <c r="GP42" s="24"/>
      <c r="GQ42" s="24"/>
      <c r="GR42" s="24"/>
      <c r="GS42" s="24"/>
      <c r="GT42" s="24"/>
      <c r="GU42" s="24"/>
      <c r="GV42" s="24"/>
      <c r="GW42" s="24"/>
      <c r="GX42" s="24"/>
      <c r="GY42" s="24"/>
      <c r="GZ42" s="24"/>
      <c r="HA42" s="18"/>
      <c r="HV42" s="9">
        <v>40</v>
      </c>
    </row>
    <row r="43" spans="1:230" ht="15" x14ac:dyDescent="0.25">
      <c r="A43" s="10">
        <f t="shared" si="1"/>
        <v>41</v>
      </c>
      <c r="B43" t="s">
        <v>392</v>
      </c>
      <c r="C43" t="s">
        <v>392</v>
      </c>
      <c r="D43" s="10"/>
      <c r="E43" s="10"/>
      <c r="F43" s="10"/>
      <c r="G43" s="10"/>
      <c r="H43" t="s">
        <v>269</v>
      </c>
      <c r="N43" s="9">
        <v>41</v>
      </c>
      <c r="AX43" s="17"/>
      <c r="AY43" s="13" t="s">
        <v>393</v>
      </c>
      <c r="BM43" s="18"/>
      <c r="CH43" s="9">
        <v>41</v>
      </c>
      <c r="DR43" s="17"/>
      <c r="DS43" s="13" t="s">
        <v>393</v>
      </c>
      <c r="EG43" s="18"/>
      <c r="FB43" s="9">
        <v>41</v>
      </c>
      <c r="GL43" s="17"/>
      <c r="GM43" s="13" t="s">
        <v>393</v>
      </c>
      <c r="HA43" s="18"/>
      <c r="HV43" s="9">
        <v>41</v>
      </c>
    </row>
    <row r="44" spans="1:230" ht="15" x14ac:dyDescent="0.25">
      <c r="A44" s="10">
        <f t="shared" si="1"/>
        <v>42</v>
      </c>
      <c r="B44" t="s">
        <v>382</v>
      </c>
      <c r="C44" t="s">
        <v>382</v>
      </c>
      <c r="D44" s="10"/>
      <c r="E44" s="10"/>
      <c r="F44" s="10"/>
      <c r="G44" s="10"/>
      <c r="H44" t="s">
        <v>269</v>
      </c>
      <c r="N44" s="9">
        <v>42</v>
      </c>
      <c r="AX44" s="17"/>
      <c r="AY44" s="13" t="s">
        <v>383</v>
      </c>
      <c r="BM44" s="18"/>
      <c r="CH44" s="9">
        <v>42</v>
      </c>
      <c r="DR44" s="17"/>
      <c r="DS44" s="13" t="s">
        <v>383</v>
      </c>
      <c r="EG44" s="18"/>
      <c r="FB44" s="9">
        <v>42</v>
      </c>
      <c r="GL44" s="17"/>
      <c r="GM44" s="13" t="s">
        <v>383</v>
      </c>
      <c r="HA44" s="18"/>
      <c r="HV44" s="9">
        <v>42</v>
      </c>
    </row>
    <row r="45" spans="1:230" ht="15" x14ac:dyDescent="0.25">
      <c r="A45" s="10">
        <f t="shared" si="1"/>
        <v>43</v>
      </c>
      <c r="B45" t="s">
        <v>384</v>
      </c>
      <c r="C45" t="s">
        <v>384</v>
      </c>
      <c r="D45" s="10"/>
      <c r="E45" s="10"/>
      <c r="F45" s="10"/>
      <c r="G45" s="10"/>
      <c r="H45" t="s">
        <v>269</v>
      </c>
      <c r="N45" s="9">
        <v>43</v>
      </c>
      <c r="AX45" s="17"/>
      <c r="AY45" s="13" t="s">
        <v>385</v>
      </c>
      <c r="BM45" s="18"/>
      <c r="CH45" s="9">
        <v>43</v>
      </c>
      <c r="DR45" s="17"/>
      <c r="DS45" s="13" t="s">
        <v>385</v>
      </c>
      <c r="EG45" s="18"/>
      <c r="FB45" s="9">
        <v>43</v>
      </c>
      <c r="GL45" s="17"/>
      <c r="GM45" s="13" t="s">
        <v>385</v>
      </c>
      <c r="HA45" s="18"/>
      <c r="HV45" s="9">
        <v>43</v>
      </c>
    </row>
    <row r="46" spans="1:230" ht="15" x14ac:dyDescent="0.25">
      <c r="A46" s="10">
        <f t="shared" si="1"/>
        <v>44</v>
      </c>
      <c r="B46" t="s">
        <v>394</v>
      </c>
      <c r="C46" t="s">
        <v>394</v>
      </c>
      <c r="D46" s="10"/>
      <c r="E46" s="10"/>
      <c r="F46" s="10"/>
      <c r="G46" s="10"/>
      <c r="H46" t="s">
        <v>269</v>
      </c>
      <c r="N46" s="9">
        <v>44</v>
      </c>
      <c r="Q46" s="13" t="s">
        <v>395</v>
      </c>
      <c r="AX46" s="17"/>
      <c r="AY46" s="13" t="s">
        <v>387</v>
      </c>
      <c r="BM46" s="18"/>
      <c r="CH46" s="9">
        <v>44</v>
      </c>
      <c r="CK46" s="13" t="s">
        <v>395</v>
      </c>
      <c r="DR46" s="17"/>
      <c r="DS46" s="13" t="s">
        <v>387</v>
      </c>
      <c r="EG46" s="18"/>
      <c r="FB46" s="9">
        <v>44</v>
      </c>
      <c r="FE46" s="13" t="s">
        <v>395</v>
      </c>
      <c r="GL46" s="17"/>
      <c r="GM46" s="13" t="s">
        <v>387</v>
      </c>
      <c r="HA46" s="18"/>
      <c r="HV46" s="9">
        <v>44</v>
      </c>
    </row>
    <row r="47" spans="1:230" ht="15" x14ac:dyDescent="0.25">
      <c r="A47" s="10">
        <f t="shared" si="1"/>
        <v>45</v>
      </c>
      <c r="B47" t="s">
        <v>396</v>
      </c>
      <c r="C47" t="s">
        <v>396</v>
      </c>
      <c r="D47" s="10"/>
      <c r="E47" s="10"/>
      <c r="F47" s="10"/>
      <c r="G47" s="10"/>
      <c r="H47" t="s">
        <v>269</v>
      </c>
      <c r="N47" s="9">
        <v>45</v>
      </c>
      <c r="R47" s="13" t="s">
        <v>397</v>
      </c>
      <c r="Z47" s="13" t="s">
        <v>398</v>
      </c>
      <c r="AX47" s="17"/>
      <c r="AY47" s="13" t="s">
        <v>389</v>
      </c>
      <c r="BM47" s="18"/>
      <c r="CH47" s="9">
        <v>45</v>
      </c>
      <c r="CL47" s="13" t="s">
        <v>397</v>
      </c>
      <c r="CT47" s="13" t="s">
        <v>398</v>
      </c>
      <c r="DR47" s="17"/>
      <c r="DS47" s="13" t="s">
        <v>389</v>
      </c>
      <c r="EG47" s="18"/>
      <c r="FB47" s="9">
        <v>45</v>
      </c>
      <c r="FF47" s="13" t="s">
        <v>397</v>
      </c>
      <c r="FN47" s="13" t="s">
        <v>398</v>
      </c>
      <c r="GL47" s="17"/>
      <c r="GM47" s="13" t="s">
        <v>389</v>
      </c>
      <c r="HA47" s="18"/>
      <c r="HV47" s="9">
        <v>45</v>
      </c>
    </row>
    <row r="48" spans="1:230" ht="15" x14ac:dyDescent="0.25">
      <c r="A48" s="10">
        <f t="shared" si="1"/>
        <v>46</v>
      </c>
      <c r="B48" t="s">
        <v>399</v>
      </c>
      <c r="C48" t="s">
        <v>399</v>
      </c>
      <c r="D48" s="10"/>
      <c r="E48" s="10"/>
      <c r="F48" s="10"/>
      <c r="G48" s="10"/>
      <c r="H48" t="s">
        <v>269</v>
      </c>
      <c r="N48" s="9">
        <v>46</v>
      </c>
      <c r="R48" s="13" t="s">
        <v>400</v>
      </c>
      <c r="Z48" s="13" t="s">
        <v>401</v>
      </c>
      <c r="AX48" s="17"/>
      <c r="AY48" s="13" t="s">
        <v>391</v>
      </c>
      <c r="BM48" s="18"/>
      <c r="CH48" s="9">
        <v>46</v>
      </c>
      <c r="CL48" s="13" t="s">
        <v>400</v>
      </c>
      <c r="CT48" s="13" t="s">
        <v>401</v>
      </c>
      <c r="DR48" s="17"/>
      <c r="DS48" s="13" t="s">
        <v>391</v>
      </c>
      <c r="EG48" s="18"/>
      <c r="FB48" s="9">
        <v>46</v>
      </c>
      <c r="FF48" s="13" t="s">
        <v>400</v>
      </c>
      <c r="FN48" s="13" t="s">
        <v>401</v>
      </c>
      <c r="GL48" s="17"/>
      <c r="GM48" s="13" t="s">
        <v>391</v>
      </c>
      <c r="HA48" s="18"/>
      <c r="HV48" s="9">
        <v>46</v>
      </c>
    </row>
    <row r="49" spans="1:230" ht="15" x14ac:dyDescent="0.25">
      <c r="A49" s="10">
        <f t="shared" si="1"/>
        <v>47</v>
      </c>
      <c r="B49" t="s">
        <v>402</v>
      </c>
      <c r="C49" t="s">
        <v>402</v>
      </c>
      <c r="D49" s="10"/>
      <c r="E49" s="10"/>
      <c r="F49" s="10"/>
      <c r="G49" s="10"/>
      <c r="H49" t="s">
        <v>269</v>
      </c>
      <c r="N49" s="9">
        <v>47</v>
      </c>
      <c r="R49" s="13" t="s">
        <v>403</v>
      </c>
      <c r="Z49" s="13" t="s">
        <v>404</v>
      </c>
      <c r="AX49" s="17"/>
      <c r="AY49" s="13" t="s">
        <v>405</v>
      </c>
      <c r="BM49" s="18"/>
      <c r="CH49" s="9">
        <v>47</v>
      </c>
      <c r="CL49" s="13" t="s">
        <v>403</v>
      </c>
      <c r="CT49" s="13" t="s">
        <v>404</v>
      </c>
      <c r="DR49" s="17"/>
      <c r="DS49" s="13" t="s">
        <v>405</v>
      </c>
      <c r="EG49" s="18"/>
      <c r="FB49" s="9">
        <v>47</v>
      </c>
      <c r="FF49" s="13" t="s">
        <v>403</v>
      </c>
      <c r="FN49" s="13" t="s">
        <v>404</v>
      </c>
      <c r="GL49" s="17"/>
      <c r="GM49" s="13" t="s">
        <v>405</v>
      </c>
      <c r="HA49" s="18"/>
      <c r="HV49" s="9">
        <v>47</v>
      </c>
    </row>
    <row r="50" spans="1:230" ht="15" x14ac:dyDescent="0.25">
      <c r="A50" s="10">
        <f t="shared" si="1"/>
        <v>48</v>
      </c>
      <c r="B50" t="s">
        <v>382</v>
      </c>
      <c r="C50" t="s">
        <v>382</v>
      </c>
      <c r="D50" s="10"/>
      <c r="E50" s="10"/>
      <c r="F50" s="10"/>
      <c r="G50" s="10"/>
      <c r="H50" t="s">
        <v>269</v>
      </c>
      <c r="N50" s="9">
        <v>48</v>
      </c>
      <c r="AX50" s="17"/>
      <c r="AY50" s="13" t="s">
        <v>383</v>
      </c>
      <c r="BM50" s="18"/>
      <c r="CH50" s="9">
        <v>48</v>
      </c>
      <c r="DR50" s="17"/>
      <c r="DS50" s="13" t="s">
        <v>383</v>
      </c>
      <c r="EG50" s="18"/>
      <c r="FB50" s="9">
        <v>48</v>
      </c>
      <c r="GL50" s="17"/>
      <c r="GM50" s="13" t="s">
        <v>383</v>
      </c>
      <c r="HA50" s="18"/>
      <c r="HV50" s="9">
        <v>48</v>
      </c>
    </row>
    <row r="51" spans="1:230" ht="15" x14ac:dyDescent="0.25">
      <c r="A51" s="10">
        <f t="shared" si="1"/>
        <v>49</v>
      </c>
      <c r="B51" t="s">
        <v>406</v>
      </c>
      <c r="C51" t="s">
        <v>406</v>
      </c>
      <c r="D51" s="10"/>
      <c r="E51" s="10"/>
      <c r="F51" s="10"/>
      <c r="G51" s="10"/>
      <c r="H51" t="s">
        <v>269</v>
      </c>
      <c r="N51" s="9">
        <v>49</v>
      </c>
      <c r="P51" s="13" t="s">
        <v>407</v>
      </c>
      <c r="AX51" s="17"/>
      <c r="AY51" s="13" t="s">
        <v>385</v>
      </c>
      <c r="BM51" s="18"/>
      <c r="CH51" s="9">
        <v>49</v>
      </c>
      <c r="CJ51" s="13" t="s">
        <v>407</v>
      </c>
      <c r="DR51" s="17"/>
      <c r="DS51" s="13" t="s">
        <v>385</v>
      </c>
      <c r="EG51" s="18"/>
      <c r="FB51" s="9">
        <v>49</v>
      </c>
      <c r="FD51" s="13" t="s">
        <v>407</v>
      </c>
      <c r="GL51" s="17"/>
      <c r="GM51" s="13" t="s">
        <v>385</v>
      </c>
      <c r="HA51" s="18"/>
      <c r="HV51" s="9">
        <v>49</v>
      </c>
    </row>
    <row r="52" spans="1:230" ht="15" x14ac:dyDescent="0.25">
      <c r="A52" s="10">
        <f t="shared" si="1"/>
        <v>50</v>
      </c>
      <c r="B52" t="s">
        <v>408</v>
      </c>
      <c r="C52" t="s">
        <v>408</v>
      </c>
      <c r="D52" s="10"/>
      <c r="E52" s="10"/>
      <c r="F52" s="10"/>
      <c r="G52" s="10"/>
      <c r="H52" t="s">
        <v>269</v>
      </c>
      <c r="N52" s="9">
        <v>50</v>
      </c>
      <c r="Q52" s="13" t="s">
        <v>409</v>
      </c>
      <c r="AX52" s="17"/>
      <c r="AY52" s="13" t="s">
        <v>387</v>
      </c>
      <c r="BM52" s="18"/>
      <c r="CH52" s="9">
        <v>50</v>
      </c>
      <c r="CK52" s="13" t="s">
        <v>409</v>
      </c>
      <c r="DR52" s="17"/>
      <c r="DS52" s="13" t="s">
        <v>387</v>
      </c>
      <c r="EG52" s="18"/>
      <c r="FB52" s="9">
        <v>50</v>
      </c>
      <c r="FE52" s="13" t="s">
        <v>409</v>
      </c>
      <c r="GL52" s="17"/>
      <c r="GM52" s="13" t="s">
        <v>387</v>
      </c>
      <c r="HA52" s="18"/>
      <c r="HV52" s="9">
        <v>50</v>
      </c>
    </row>
    <row r="53" spans="1:230" ht="15" x14ac:dyDescent="0.25">
      <c r="A53" s="10">
        <f t="shared" si="1"/>
        <v>51</v>
      </c>
      <c r="B53" t="s">
        <v>410</v>
      </c>
      <c r="C53" t="s">
        <v>410</v>
      </c>
      <c r="D53" s="10"/>
      <c r="E53" s="10"/>
      <c r="F53" s="10"/>
      <c r="G53" s="10"/>
      <c r="H53" t="s">
        <v>269</v>
      </c>
      <c r="N53" s="9">
        <v>51</v>
      </c>
      <c r="Q53" s="13" t="s">
        <v>411</v>
      </c>
      <c r="AX53" s="17"/>
      <c r="AY53" s="13" t="s">
        <v>389</v>
      </c>
      <c r="BM53" s="18"/>
      <c r="CH53" s="9">
        <v>51</v>
      </c>
      <c r="CK53" s="13" t="s">
        <v>411</v>
      </c>
      <c r="DR53" s="17"/>
      <c r="DS53" s="13" t="s">
        <v>389</v>
      </c>
      <c r="EG53" s="18"/>
      <c r="FB53" s="9">
        <v>51</v>
      </c>
      <c r="FE53" s="13" t="s">
        <v>411</v>
      </c>
      <c r="GL53" s="17"/>
      <c r="GM53" s="13" t="s">
        <v>389</v>
      </c>
      <c r="HA53" s="18"/>
      <c r="HV53" s="9">
        <v>51</v>
      </c>
    </row>
    <row r="54" spans="1:230" ht="15" x14ac:dyDescent="0.25">
      <c r="A54" s="10">
        <f t="shared" si="1"/>
        <v>52</v>
      </c>
      <c r="B54" t="s">
        <v>390</v>
      </c>
      <c r="C54" t="s">
        <v>390</v>
      </c>
      <c r="D54" s="10"/>
      <c r="E54" s="10"/>
      <c r="F54" s="10"/>
      <c r="G54" s="10"/>
      <c r="H54" t="s">
        <v>269</v>
      </c>
      <c r="N54" s="9">
        <v>52</v>
      </c>
      <c r="AX54" s="17"/>
      <c r="AY54" s="13" t="s">
        <v>391</v>
      </c>
      <c r="BM54" s="18"/>
      <c r="CH54" s="9">
        <v>52</v>
      </c>
      <c r="DR54" s="17"/>
      <c r="DS54" s="13" t="s">
        <v>391</v>
      </c>
      <c r="EG54" s="18"/>
      <c r="FB54" s="9">
        <v>52</v>
      </c>
      <c r="GL54" s="17"/>
      <c r="GM54" s="13" t="s">
        <v>391</v>
      </c>
      <c r="HA54" s="18"/>
      <c r="HV54" s="9">
        <v>52</v>
      </c>
    </row>
    <row r="55" spans="1:230" ht="15" x14ac:dyDescent="0.25">
      <c r="A55" s="10">
        <f t="shared" si="1"/>
        <v>53</v>
      </c>
      <c r="B55" t="s">
        <v>412</v>
      </c>
      <c r="C55" t="s">
        <v>412</v>
      </c>
      <c r="D55" s="10"/>
      <c r="E55" s="10"/>
      <c r="F55" s="10"/>
      <c r="G55" s="10"/>
      <c r="H55" t="s">
        <v>269</v>
      </c>
      <c r="N55" s="9">
        <v>53</v>
      </c>
      <c r="S55" s="22" t="s">
        <v>413</v>
      </c>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X55" s="17"/>
      <c r="AY55" s="13" t="s">
        <v>414</v>
      </c>
      <c r="AZ55" s="24"/>
      <c r="BA55" s="24"/>
      <c r="BB55" s="24"/>
      <c r="BC55" s="24"/>
      <c r="BD55" s="24"/>
      <c r="BE55" s="24"/>
      <c r="BF55" s="24"/>
      <c r="BG55" s="24"/>
      <c r="BH55" s="24"/>
      <c r="BI55" s="24"/>
      <c r="BJ55" s="24"/>
      <c r="BK55" s="24"/>
      <c r="BL55" s="24"/>
      <c r="BM55" s="18"/>
      <c r="CH55" s="9">
        <v>53</v>
      </c>
      <c r="CM55" s="22" t="s">
        <v>413</v>
      </c>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R55" s="17"/>
      <c r="DS55" s="13" t="s">
        <v>414</v>
      </c>
      <c r="DT55" s="24"/>
      <c r="DU55" s="24"/>
      <c r="DV55" s="24"/>
      <c r="DW55" s="24"/>
      <c r="DX55" s="24"/>
      <c r="DY55" s="24"/>
      <c r="DZ55" s="24"/>
      <c r="EA55" s="24"/>
      <c r="EB55" s="24"/>
      <c r="EC55" s="24"/>
      <c r="ED55" s="24"/>
      <c r="EE55" s="24"/>
      <c r="EF55" s="24"/>
      <c r="EG55" s="18"/>
      <c r="FB55" s="9">
        <v>53</v>
      </c>
      <c r="FG55" s="22" t="s">
        <v>413</v>
      </c>
      <c r="FH55" s="22"/>
      <c r="FI55" s="22"/>
      <c r="FJ55" s="22"/>
      <c r="FK55" s="22"/>
      <c r="FL55" s="22"/>
      <c r="FM55" s="22"/>
      <c r="FN55" s="22"/>
      <c r="FO55" s="22"/>
      <c r="FP55" s="22"/>
      <c r="FQ55" s="22"/>
      <c r="FR55" s="22"/>
      <c r="FS55" s="22"/>
      <c r="FT55" s="22"/>
      <c r="FU55" s="22"/>
      <c r="FV55" s="22"/>
      <c r="FW55" s="22"/>
      <c r="FX55" s="22"/>
      <c r="FY55" s="22"/>
      <c r="FZ55" s="22"/>
      <c r="GA55" s="22"/>
      <c r="GB55" s="22"/>
      <c r="GC55" s="22"/>
      <c r="GD55" s="22"/>
      <c r="GE55" s="22"/>
      <c r="GF55" s="22"/>
      <c r="GG55" s="22"/>
      <c r="GH55" s="22"/>
      <c r="GI55" s="22"/>
      <c r="GJ55" s="22"/>
      <c r="GL55" s="17"/>
      <c r="GM55" s="13" t="s">
        <v>414</v>
      </c>
      <c r="GN55" s="24"/>
      <c r="GO55" s="24"/>
      <c r="GP55" s="24"/>
      <c r="GQ55" s="24"/>
      <c r="GR55" s="24"/>
      <c r="GS55" s="24"/>
      <c r="GT55" s="24"/>
      <c r="GU55" s="24"/>
      <c r="GV55" s="24"/>
      <c r="GW55" s="24"/>
      <c r="GX55" s="24"/>
      <c r="GY55" s="24"/>
      <c r="GZ55" s="24"/>
      <c r="HA55" s="18"/>
      <c r="HV55" s="9">
        <v>53</v>
      </c>
    </row>
    <row r="56" spans="1:230" ht="15" x14ac:dyDescent="0.25">
      <c r="A56" s="10">
        <f t="shared" si="1"/>
        <v>54</v>
      </c>
      <c r="B56" t="s">
        <v>415</v>
      </c>
      <c r="C56" t="s">
        <v>415</v>
      </c>
      <c r="D56" s="10"/>
      <c r="E56" s="10"/>
      <c r="F56" s="10"/>
      <c r="G56" s="10"/>
      <c r="H56" t="s">
        <v>269</v>
      </c>
      <c r="N56" s="9">
        <v>54</v>
      </c>
      <c r="S56" s="22" t="s">
        <v>416</v>
      </c>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X56" s="17"/>
      <c r="AY56" s="13" t="s">
        <v>332</v>
      </c>
      <c r="AZ56" s="24"/>
      <c r="BA56" s="24"/>
      <c r="BB56" s="24"/>
      <c r="BC56" s="24"/>
      <c r="BD56" s="24"/>
      <c r="BE56" s="24"/>
      <c r="BF56" s="24"/>
      <c r="BG56" s="24"/>
      <c r="BH56" s="24"/>
      <c r="BI56" s="24"/>
      <c r="BJ56" s="24"/>
      <c r="BK56" s="24"/>
      <c r="BL56" s="24"/>
      <c r="BM56" s="18"/>
      <c r="CH56" s="9">
        <v>54</v>
      </c>
      <c r="CM56" s="22" t="s">
        <v>416</v>
      </c>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R56" s="17"/>
      <c r="DS56" s="13" t="s">
        <v>332</v>
      </c>
      <c r="DT56" s="24"/>
      <c r="DU56" s="24"/>
      <c r="DV56" s="24"/>
      <c r="DW56" s="24"/>
      <c r="DX56" s="24"/>
      <c r="DY56" s="24"/>
      <c r="DZ56" s="24"/>
      <c r="EA56" s="24"/>
      <c r="EB56" s="24"/>
      <c r="EC56" s="24"/>
      <c r="ED56" s="24"/>
      <c r="EE56" s="24"/>
      <c r="EF56" s="24"/>
      <c r="EG56" s="18"/>
      <c r="FB56" s="9">
        <v>54</v>
      </c>
      <c r="FG56" s="22" t="s">
        <v>416</v>
      </c>
      <c r="FH56" s="22"/>
      <c r="FI56" s="22"/>
      <c r="FJ56" s="22"/>
      <c r="FK56" s="22"/>
      <c r="FL56" s="22"/>
      <c r="FM56" s="22"/>
      <c r="FN56" s="22"/>
      <c r="FO56" s="22"/>
      <c r="FP56" s="22"/>
      <c r="FQ56" s="22"/>
      <c r="FR56" s="22"/>
      <c r="FS56" s="22"/>
      <c r="FT56" s="22"/>
      <c r="FU56" s="22"/>
      <c r="FV56" s="22"/>
      <c r="FW56" s="22"/>
      <c r="FX56" s="22"/>
      <c r="FY56" s="22"/>
      <c r="FZ56" s="22"/>
      <c r="GA56" s="22"/>
      <c r="GB56" s="22"/>
      <c r="GC56" s="22"/>
      <c r="GD56" s="22"/>
      <c r="GE56" s="22"/>
      <c r="GF56" s="22"/>
      <c r="GG56" s="22"/>
      <c r="GH56" s="22"/>
      <c r="GI56" s="22"/>
      <c r="GJ56" s="22"/>
      <c r="GL56" s="17"/>
      <c r="GM56" s="13" t="s">
        <v>332</v>
      </c>
      <c r="GN56" s="24"/>
      <c r="GO56" s="24"/>
      <c r="GP56" s="24"/>
      <c r="GQ56" s="24"/>
      <c r="GR56" s="24"/>
      <c r="GS56" s="24"/>
      <c r="GT56" s="24"/>
      <c r="GU56" s="24"/>
      <c r="GV56" s="24"/>
      <c r="GW56" s="24"/>
      <c r="GX56" s="24"/>
      <c r="GY56" s="24"/>
      <c r="GZ56" s="24"/>
      <c r="HA56" s="18"/>
      <c r="HV56" s="9">
        <v>54</v>
      </c>
    </row>
    <row r="57" spans="1:230" ht="15" x14ac:dyDescent="0.25">
      <c r="A57" s="10">
        <f t="shared" si="1"/>
        <v>55</v>
      </c>
      <c r="B57" t="s">
        <v>417</v>
      </c>
      <c r="C57" t="s">
        <v>417</v>
      </c>
      <c r="D57" s="10"/>
      <c r="E57" s="10"/>
      <c r="F57" s="10"/>
      <c r="G57" s="10"/>
      <c r="H57" t="s">
        <v>269</v>
      </c>
      <c r="N57" s="9">
        <v>55</v>
      </c>
      <c r="S57" s="22" t="s">
        <v>418</v>
      </c>
      <c r="T57" s="22"/>
      <c r="U57" s="22"/>
      <c r="V57" s="22"/>
      <c r="W57" s="22"/>
      <c r="X57" s="22"/>
      <c r="Y57" s="22"/>
      <c r="Z57" s="22"/>
      <c r="AA57" s="22"/>
      <c r="AB57" s="22"/>
      <c r="AC57" s="22"/>
      <c r="AD57" s="22"/>
      <c r="AE57" s="22"/>
      <c r="AF57" s="22"/>
      <c r="AG57" s="22"/>
      <c r="AH57" s="25" t="s">
        <v>419</v>
      </c>
      <c r="AI57" s="22"/>
      <c r="AJ57" s="22"/>
      <c r="AK57" s="22"/>
      <c r="AL57" s="22"/>
      <c r="AM57" s="22"/>
      <c r="AN57" s="22"/>
      <c r="AO57" s="22"/>
      <c r="AP57" s="22"/>
      <c r="AQ57" s="22"/>
      <c r="AR57" s="22"/>
      <c r="AS57" s="22"/>
      <c r="AT57" s="22"/>
      <c r="AU57" s="22"/>
      <c r="AV57" s="22"/>
      <c r="AX57" s="17"/>
      <c r="AY57" s="13" t="s">
        <v>420</v>
      </c>
      <c r="BM57" s="18"/>
      <c r="CH57" s="9">
        <v>55</v>
      </c>
      <c r="CM57" s="22" t="s">
        <v>418</v>
      </c>
      <c r="CN57" s="22"/>
      <c r="CO57" s="22"/>
      <c r="CP57" s="22"/>
      <c r="CQ57" s="22"/>
      <c r="CR57" s="22"/>
      <c r="CS57" s="22"/>
      <c r="CT57" s="22"/>
      <c r="CU57" s="22"/>
      <c r="CV57" s="22"/>
      <c r="CW57" s="22"/>
      <c r="CX57" s="22"/>
      <c r="CY57" s="22"/>
      <c r="CZ57" s="22"/>
      <c r="DA57" s="22"/>
      <c r="DB57" s="25" t="s">
        <v>419</v>
      </c>
      <c r="DC57" s="22"/>
      <c r="DD57" s="22"/>
      <c r="DE57" s="22"/>
      <c r="DF57" s="22"/>
      <c r="DG57" s="22"/>
      <c r="DH57" s="22"/>
      <c r="DI57" s="22"/>
      <c r="DJ57" s="22"/>
      <c r="DK57" s="22"/>
      <c r="DL57" s="22"/>
      <c r="DM57" s="22"/>
      <c r="DN57" s="22"/>
      <c r="DO57" s="22"/>
      <c r="DP57" s="22"/>
      <c r="DR57" s="17"/>
      <c r="DS57" s="13" t="s">
        <v>420</v>
      </c>
      <c r="EG57" s="18"/>
      <c r="FB57" s="9">
        <v>55</v>
      </c>
      <c r="FG57" s="22" t="s">
        <v>418</v>
      </c>
      <c r="FH57" s="22"/>
      <c r="FI57" s="22"/>
      <c r="FJ57" s="22"/>
      <c r="FK57" s="22"/>
      <c r="FL57" s="22"/>
      <c r="FM57" s="22"/>
      <c r="FN57" s="22"/>
      <c r="FO57" s="22"/>
      <c r="FP57" s="22"/>
      <c r="FQ57" s="22"/>
      <c r="FR57" s="22"/>
      <c r="FS57" s="22"/>
      <c r="FT57" s="22"/>
      <c r="FU57" s="22"/>
      <c r="FV57" s="25" t="s">
        <v>419</v>
      </c>
      <c r="FW57" s="22"/>
      <c r="FX57" s="22"/>
      <c r="FY57" s="22"/>
      <c r="FZ57" s="22"/>
      <c r="GA57" s="22"/>
      <c r="GB57" s="22"/>
      <c r="GC57" s="22"/>
      <c r="GD57" s="22"/>
      <c r="GE57" s="22"/>
      <c r="GF57" s="22"/>
      <c r="GG57" s="22"/>
      <c r="GH57" s="22"/>
      <c r="GI57" s="22"/>
      <c r="GJ57" s="22"/>
      <c r="GL57" s="17"/>
      <c r="GM57" s="13" t="s">
        <v>420</v>
      </c>
      <c r="HA57" s="18"/>
      <c r="HV57" s="9">
        <v>55</v>
      </c>
    </row>
    <row r="58" spans="1:230" ht="15" x14ac:dyDescent="0.25">
      <c r="A58" s="10">
        <f t="shared" si="1"/>
        <v>56</v>
      </c>
      <c r="B58" t="s">
        <v>421</v>
      </c>
      <c r="C58" t="s">
        <v>421</v>
      </c>
      <c r="D58" s="10"/>
      <c r="E58" s="10"/>
      <c r="F58" s="10"/>
      <c r="G58" s="10"/>
      <c r="H58" t="s">
        <v>269</v>
      </c>
      <c r="N58" s="9">
        <v>56</v>
      </c>
      <c r="S58" s="22" t="s">
        <v>422</v>
      </c>
      <c r="T58" s="22"/>
      <c r="U58" s="22"/>
      <c r="V58" s="22"/>
      <c r="W58" s="22"/>
      <c r="X58" s="22"/>
      <c r="Y58" s="22"/>
      <c r="Z58" s="22"/>
      <c r="AA58" s="22"/>
      <c r="AB58" s="22"/>
      <c r="AC58" s="22"/>
      <c r="AD58" s="22"/>
      <c r="AE58" s="22"/>
      <c r="AF58" s="22"/>
      <c r="AG58" s="22"/>
      <c r="AH58" s="25" t="s">
        <v>423</v>
      </c>
      <c r="AI58" s="22"/>
      <c r="AJ58" s="22"/>
      <c r="AK58" s="22"/>
      <c r="AL58" s="22"/>
      <c r="AM58" s="22"/>
      <c r="AN58" s="22"/>
      <c r="AO58" s="22"/>
      <c r="AP58" s="22"/>
      <c r="AQ58" s="22"/>
      <c r="AR58" s="22"/>
      <c r="AS58" s="22"/>
      <c r="AT58" s="22"/>
      <c r="AU58" s="22"/>
      <c r="AV58" s="22"/>
      <c r="AX58" s="17"/>
      <c r="AY58" s="13" t="s">
        <v>332</v>
      </c>
      <c r="BM58" s="18"/>
      <c r="CH58" s="9">
        <v>56</v>
      </c>
      <c r="CM58" s="22" t="s">
        <v>422</v>
      </c>
      <c r="CN58" s="22"/>
      <c r="CO58" s="22"/>
      <c r="CP58" s="22"/>
      <c r="CQ58" s="22"/>
      <c r="CR58" s="22"/>
      <c r="CS58" s="22"/>
      <c r="CT58" s="22"/>
      <c r="CU58" s="22"/>
      <c r="CV58" s="22"/>
      <c r="CW58" s="22"/>
      <c r="CX58" s="22"/>
      <c r="CY58" s="22"/>
      <c r="CZ58" s="22"/>
      <c r="DA58" s="22"/>
      <c r="DB58" s="25" t="s">
        <v>423</v>
      </c>
      <c r="DC58" s="22"/>
      <c r="DD58" s="22"/>
      <c r="DE58" s="22"/>
      <c r="DF58" s="22"/>
      <c r="DG58" s="22"/>
      <c r="DH58" s="22"/>
      <c r="DI58" s="22"/>
      <c r="DJ58" s="22"/>
      <c r="DK58" s="22"/>
      <c r="DL58" s="22"/>
      <c r="DM58" s="22"/>
      <c r="DN58" s="22"/>
      <c r="DO58" s="22"/>
      <c r="DP58" s="22"/>
      <c r="DR58" s="17"/>
      <c r="DS58" s="13" t="s">
        <v>332</v>
      </c>
      <c r="EG58" s="18"/>
      <c r="FB58" s="9">
        <v>56</v>
      </c>
      <c r="FG58" s="22" t="s">
        <v>422</v>
      </c>
      <c r="FH58" s="22"/>
      <c r="FI58" s="22"/>
      <c r="FJ58" s="22"/>
      <c r="FK58" s="22"/>
      <c r="FL58" s="22"/>
      <c r="FM58" s="22"/>
      <c r="FN58" s="22"/>
      <c r="FO58" s="22"/>
      <c r="FP58" s="22"/>
      <c r="FQ58" s="22"/>
      <c r="FR58" s="22"/>
      <c r="FS58" s="22"/>
      <c r="FT58" s="22"/>
      <c r="FU58" s="22"/>
      <c r="FV58" s="25" t="s">
        <v>423</v>
      </c>
      <c r="FW58" s="22"/>
      <c r="FX58" s="22"/>
      <c r="FY58" s="22"/>
      <c r="FZ58" s="22"/>
      <c r="GA58" s="22"/>
      <c r="GB58" s="22"/>
      <c r="GC58" s="22"/>
      <c r="GD58" s="22"/>
      <c r="GE58" s="22"/>
      <c r="GF58" s="22"/>
      <c r="GG58" s="22"/>
      <c r="GH58" s="22"/>
      <c r="GI58" s="22"/>
      <c r="GJ58" s="22"/>
      <c r="GL58" s="17"/>
      <c r="GM58" s="13" t="s">
        <v>332</v>
      </c>
      <c r="HA58" s="18"/>
      <c r="HV58" s="9">
        <v>56</v>
      </c>
    </row>
    <row r="59" spans="1:230" ht="15" x14ac:dyDescent="0.25">
      <c r="A59" s="10">
        <f t="shared" si="1"/>
        <v>57</v>
      </c>
      <c r="B59" t="s">
        <v>424</v>
      </c>
      <c r="C59" t="s">
        <v>424</v>
      </c>
      <c r="D59" s="10"/>
      <c r="E59" s="10"/>
      <c r="F59" s="10"/>
      <c r="G59" s="10"/>
      <c r="H59" t="s">
        <v>269</v>
      </c>
      <c r="N59" s="9">
        <v>57</v>
      </c>
      <c r="S59" s="22" t="s">
        <v>425</v>
      </c>
      <c r="T59" s="22"/>
      <c r="U59" s="22"/>
      <c r="V59" s="22"/>
      <c r="W59" s="22"/>
      <c r="X59" s="22"/>
      <c r="Y59" s="22"/>
      <c r="Z59" s="22"/>
      <c r="AA59" s="22"/>
      <c r="AB59" s="22"/>
      <c r="AC59" s="22"/>
      <c r="AD59" s="22"/>
      <c r="AE59" s="22"/>
      <c r="AF59" s="22"/>
      <c r="AG59" s="22"/>
      <c r="AH59" s="26" t="s">
        <v>426</v>
      </c>
      <c r="AI59" s="22"/>
      <c r="AJ59" s="22"/>
      <c r="AK59" s="22"/>
      <c r="AL59" s="22"/>
      <c r="AM59" s="22"/>
      <c r="AN59" s="22"/>
      <c r="AO59" s="22"/>
      <c r="AP59" s="22"/>
      <c r="AQ59" s="22"/>
      <c r="AR59" s="22"/>
      <c r="AS59" s="22"/>
      <c r="AT59" s="22"/>
      <c r="AU59" s="22"/>
      <c r="AV59" s="22"/>
      <c r="AX59" s="17"/>
      <c r="AY59" s="13" t="s">
        <v>427</v>
      </c>
      <c r="BM59" s="18"/>
      <c r="CH59" s="9">
        <v>57</v>
      </c>
      <c r="CM59" s="22" t="s">
        <v>425</v>
      </c>
      <c r="CN59" s="22"/>
      <c r="CO59" s="22"/>
      <c r="CP59" s="22"/>
      <c r="CQ59" s="22"/>
      <c r="CR59" s="22"/>
      <c r="CS59" s="22"/>
      <c r="CT59" s="22"/>
      <c r="CU59" s="22"/>
      <c r="CV59" s="22"/>
      <c r="CW59" s="22"/>
      <c r="CX59" s="22"/>
      <c r="CY59" s="22"/>
      <c r="CZ59" s="22"/>
      <c r="DA59" s="22"/>
      <c r="DB59" s="26" t="s">
        <v>426</v>
      </c>
      <c r="DC59" s="22"/>
      <c r="DD59" s="22"/>
      <c r="DE59" s="22"/>
      <c r="DF59" s="22"/>
      <c r="DG59" s="22"/>
      <c r="DH59" s="22"/>
      <c r="DI59" s="22"/>
      <c r="DJ59" s="22"/>
      <c r="DK59" s="22"/>
      <c r="DL59" s="22"/>
      <c r="DM59" s="22"/>
      <c r="DN59" s="22"/>
      <c r="DO59" s="22"/>
      <c r="DP59" s="22"/>
      <c r="DR59" s="17"/>
      <c r="DS59" s="13" t="s">
        <v>427</v>
      </c>
      <c r="EG59" s="18"/>
      <c r="FB59" s="9">
        <v>57</v>
      </c>
      <c r="FG59" s="22" t="s">
        <v>425</v>
      </c>
      <c r="FH59" s="22"/>
      <c r="FI59" s="22"/>
      <c r="FJ59" s="22"/>
      <c r="FK59" s="22"/>
      <c r="FL59" s="22"/>
      <c r="FM59" s="22"/>
      <c r="FN59" s="22"/>
      <c r="FO59" s="22"/>
      <c r="FP59" s="22"/>
      <c r="FQ59" s="22"/>
      <c r="FR59" s="22"/>
      <c r="FS59" s="22"/>
      <c r="FT59" s="22"/>
      <c r="FU59" s="22"/>
      <c r="FV59" s="26" t="s">
        <v>426</v>
      </c>
      <c r="FW59" s="22"/>
      <c r="FX59" s="22"/>
      <c r="FY59" s="22"/>
      <c r="FZ59" s="22"/>
      <c r="GA59" s="22"/>
      <c r="GB59" s="22"/>
      <c r="GC59" s="22"/>
      <c r="GD59" s="22"/>
      <c r="GE59" s="22"/>
      <c r="GF59" s="22"/>
      <c r="GG59" s="22"/>
      <c r="GH59" s="22"/>
      <c r="GI59" s="22"/>
      <c r="GJ59" s="22"/>
      <c r="GL59" s="17"/>
      <c r="GM59" s="13" t="s">
        <v>427</v>
      </c>
      <c r="HA59" s="18"/>
      <c r="HV59" s="9">
        <v>57</v>
      </c>
    </row>
    <row r="60" spans="1:230" ht="15" x14ac:dyDescent="0.25">
      <c r="A60" s="10">
        <f t="shared" si="1"/>
        <v>58</v>
      </c>
      <c r="B60" t="s">
        <v>428</v>
      </c>
      <c r="C60" t="s">
        <v>428</v>
      </c>
      <c r="D60" s="10"/>
      <c r="E60" s="10"/>
      <c r="F60" s="10"/>
      <c r="G60" s="10"/>
      <c r="H60" t="s">
        <v>269</v>
      </c>
      <c r="N60" s="9">
        <v>58</v>
      </c>
      <c r="S60" s="22" t="s">
        <v>429</v>
      </c>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X60" s="17"/>
      <c r="AY60" s="13" t="s">
        <v>332</v>
      </c>
      <c r="BM60" s="18"/>
      <c r="CH60" s="9">
        <v>58</v>
      </c>
      <c r="CM60" s="22" t="s">
        <v>429</v>
      </c>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R60" s="17"/>
      <c r="DS60" s="13" t="s">
        <v>332</v>
      </c>
      <c r="EG60" s="18"/>
      <c r="FB60" s="9">
        <v>58</v>
      </c>
      <c r="FG60" s="22" t="s">
        <v>429</v>
      </c>
      <c r="FH60" s="22"/>
      <c r="FI60" s="22"/>
      <c r="FJ60" s="22"/>
      <c r="FK60" s="22"/>
      <c r="FL60" s="22"/>
      <c r="FM60" s="22"/>
      <c r="FN60" s="22"/>
      <c r="FO60" s="22"/>
      <c r="FP60" s="22"/>
      <c r="FQ60" s="22"/>
      <c r="FR60" s="22"/>
      <c r="FS60" s="22"/>
      <c r="FT60" s="22"/>
      <c r="FU60" s="22"/>
      <c r="FV60" s="22"/>
      <c r="FW60" s="22"/>
      <c r="FX60" s="22"/>
      <c r="FY60" s="22"/>
      <c r="FZ60" s="22"/>
      <c r="GA60" s="22"/>
      <c r="GB60" s="22"/>
      <c r="GC60" s="22"/>
      <c r="GD60" s="22"/>
      <c r="GE60" s="22"/>
      <c r="GF60" s="22"/>
      <c r="GG60" s="22"/>
      <c r="GH60" s="22"/>
      <c r="GI60" s="22"/>
      <c r="GJ60" s="22"/>
      <c r="GL60" s="17"/>
      <c r="GM60" s="13" t="s">
        <v>332</v>
      </c>
      <c r="HA60" s="18"/>
      <c r="HV60" s="9">
        <v>58</v>
      </c>
    </row>
    <row r="61" spans="1:230" ht="15" x14ac:dyDescent="0.25">
      <c r="A61" s="10">
        <f t="shared" si="1"/>
        <v>59</v>
      </c>
      <c r="B61" t="s">
        <v>430</v>
      </c>
      <c r="C61" t="s">
        <v>430</v>
      </c>
      <c r="D61" s="10"/>
      <c r="E61" s="10"/>
      <c r="F61" s="10"/>
      <c r="G61" s="10"/>
      <c r="H61" t="s">
        <v>269</v>
      </c>
      <c r="N61" s="9">
        <v>59</v>
      </c>
      <c r="S61" s="22" t="s">
        <v>431</v>
      </c>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X61" s="17"/>
      <c r="AY61" s="13" t="s">
        <v>432</v>
      </c>
      <c r="BM61" s="18"/>
      <c r="CH61" s="9">
        <v>59</v>
      </c>
      <c r="CM61" s="22" t="s">
        <v>431</v>
      </c>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R61" s="17"/>
      <c r="DS61" s="13" t="s">
        <v>432</v>
      </c>
      <c r="EG61" s="18"/>
      <c r="FB61" s="9">
        <v>59</v>
      </c>
      <c r="FG61" s="22" t="s">
        <v>431</v>
      </c>
      <c r="FH61" s="22"/>
      <c r="FI61" s="22"/>
      <c r="FJ61" s="22"/>
      <c r="FK61" s="22"/>
      <c r="FL61" s="22"/>
      <c r="FM61" s="22"/>
      <c r="FN61" s="22"/>
      <c r="FO61" s="22"/>
      <c r="FP61" s="22"/>
      <c r="FQ61" s="22"/>
      <c r="FR61" s="22"/>
      <c r="FS61" s="22"/>
      <c r="FT61" s="22"/>
      <c r="FU61" s="22"/>
      <c r="FV61" s="22"/>
      <c r="FW61" s="22"/>
      <c r="FX61" s="22"/>
      <c r="FY61" s="22"/>
      <c r="FZ61" s="22"/>
      <c r="GA61" s="22"/>
      <c r="GB61" s="22"/>
      <c r="GC61" s="22"/>
      <c r="GD61" s="22"/>
      <c r="GE61" s="22"/>
      <c r="GF61" s="22"/>
      <c r="GG61" s="22"/>
      <c r="GH61" s="22"/>
      <c r="GI61" s="22"/>
      <c r="GJ61" s="22"/>
      <c r="GL61" s="17"/>
      <c r="GM61" s="13" t="s">
        <v>432</v>
      </c>
      <c r="HA61" s="18"/>
      <c r="HV61" s="9">
        <v>59</v>
      </c>
    </row>
    <row r="62" spans="1:230" ht="15" x14ac:dyDescent="0.25">
      <c r="A62" s="10">
        <f t="shared" si="1"/>
        <v>60</v>
      </c>
      <c r="B62" t="s">
        <v>433</v>
      </c>
      <c r="C62" t="s">
        <v>433</v>
      </c>
      <c r="D62" s="10"/>
      <c r="E62" s="10"/>
      <c r="F62" s="10"/>
      <c r="G62" s="10"/>
      <c r="H62" t="s">
        <v>269</v>
      </c>
      <c r="N62" s="9">
        <v>60</v>
      </c>
      <c r="S62" s="22" t="s">
        <v>434</v>
      </c>
      <c r="T62" s="22"/>
      <c r="U62" s="22"/>
      <c r="V62" s="22"/>
      <c r="W62" s="22"/>
      <c r="X62" s="22"/>
      <c r="Y62" s="22"/>
      <c r="Z62" s="22"/>
      <c r="AA62" s="22"/>
      <c r="AB62" s="22"/>
      <c r="AC62" s="22"/>
      <c r="AD62" s="22"/>
      <c r="AE62" s="22"/>
      <c r="AF62" s="22"/>
      <c r="AG62" s="22"/>
      <c r="AH62" s="26" t="s">
        <v>435</v>
      </c>
      <c r="AI62" s="22"/>
      <c r="AJ62" s="22"/>
      <c r="AK62" s="22"/>
      <c r="AL62" s="22"/>
      <c r="AM62" s="22"/>
      <c r="AN62" s="22"/>
      <c r="AO62" s="22"/>
      <c r="AP62" s="22"/>
      <c r="AQ62" s="22"/>
      <c r="AR62" s="22"/>
      <c r="AS62" s="22"/>
      <c r="AT62" s="22"/>
      <c r="AU62" s="22"/>
      <c r="AV62" s="22"/>
      <c r="AX62" s="17"/>
      <c r="AY62" s="13" t="s">
        <v>332</v>
      </c>
      <c r="BM62" s="18"/>
      <c r="CH62" s="9">
        <v>60</v>
      </c>
      <c r="CM62" s="22" t="s">
        <v>434</v>
      </c>
      <c r="CN62" s="22"/>
      <c r="CO62" s="22"/>
      <c r="CP62" s="22"/>
      <c r="CQ62" s="22"/>
      <c r="CR62" s="22"/>
      <c r="CS62" s="22"/>
      <c r="CT62" s="22"/>
      <c r="CU62" s="22"/>
      <c r="CV62" s="22"/>
      <c r="CW62" s="22"/>
      <c r="CX62" s="22"/>
      <c r="CY62" s="22"/>
      <c r="CZ62" s="22"/>
      <c r="DA62" s="22"/>
      <c r="DB62" s="26" t="s">
        <v>435</v>
      </c>
      <c r="DC62" s="22"/>
      <c r="DD62" s="22"/>
      <c r="DE62" s="22"/>
      <c r="DF62" s="22"/>
      <c r="DG62" s="22"/>
      <c r="DH62" s="22"/>
      <c r="DI62" s="22"/>
      <c r="DJ62" s="22"/>
      <c r="DK62" s="22"/>
      <c r="DL62" s="22"/>
      <c r="DM62" s="22"/>
      <c r="DN62" s="22"/>
      <c r="DO62" s="22"/>
      <c r="DP62" s="22"/>
      <c r="DR62" s="17"/>
      <c r="DS62" s="13" t="s">
        <v>332</v>
      </c>
      <c r="EG62" s="18"/>
      <c r="FB62" s="9">
        <v>60</v>
      </c>
      <c r="FG62" s="22" t="s">
        <v>434</v>
      </c>
      <c r="FH62" s="22"/>
      <c r="FI62" s="22"/>
      <c r="FJ62" s="22"/>
      <c r="FK62" s="22"/>
      <c r="FL62" s="22"/>
      <c r="FM62" s="22"/>
      <c r="FN62" s="22"/>
      <c r="FO62" s="22"/>
      <c r="FP62" s="22"/>
      <c r="FQ62" s="22"/>
      <c r="FR62" s="22"/>
      <c r="FS62" s="22"/>
      <c r="FT62" s="22"/>
      <c r="FU62" s="22"/>
      <c r="FV62" s="26" t="s">
        <v>435</v>
      </c>
      <c r="FW62" s="22"/>
      <c r="FX62" s="22"/>
      <c r="FY62" s="22"/>
      <c r="FZ62" s="22"/>
      <c r="GA62" s="22"/>
      <c r="GB62" s="22"/>
      <c r="GC62" s="22"/>
      <c r="GD62" s="22"/>
      <c r="GE62" s="22"/>
      <c r="GF62" s="22"/>
      <c r="GG62" s="22"/>
      <c r="GH62" s="22"/>
      <c r="GI62" s="22"/>
      <c r="GJ62" s="22"/>
      <c r="GL62" s="17"/>
      <c r="GM62" s="13" t="s">
        <v>332</v>
      </c>
      <c r="HA62" s="18"/>
      <c r="HV62" s="9">
        <v>60</v>
      </c>
    </row>
    <row r="63" spans="1:230" ht="15" x14ac:dyDescent="0.25">
      <c r="A63" s="10">
        <f t="shared" si="1"/>
        <v>61</v>
      </c>
      <c r="B63" t="s">
        <v>436</v>
      </c>
      <c r="C63" t="s">
        <v>436</v>
      </c>
      <c r="D63" s="10"/>
      <c r="E63" s="10"/>
      <c r="F63" s="10"/>
      <c r="G63" s="10"/>
      <c r="H63" t="s">
        <v>269</v>
      </c>
      <c r="N63" s="9">
        <v>61</v>
      </c>
      <c r="S63" s="22" t="s">
        <v>437</v>
      </c>
      <c r="T63" s="22"/>
      <c r="U63" s="22"/>
      <c r="V63" s="22"/>
      <c r="W63" s="22"/>
      <c r="X63" s="22"/>
      <c r="Y63" s="22"/>
      <c r="Z63" s="22"/>
      <c r="AA63" s="22"/>
      <c r="AB63" s="22"/>
      <c r="AC63" s="22"/>
      <c r="AD63" s="22"/>
      <c r="AE63" s="22"/>
      <c r="AF63" s="22"/>
      <c r="AG63" s="22"/>
      <c r="AH63" s="25" t="s">
        <v>438</v>
      </c>
      <c r="AI63" s="22"/>
      <c r="AJ63" s="22"/>
      <c r="AK63" s="22"/>
      <c r="AL63" s="22"/>
      <c r="AM63" s="22"/>
      <c r="AN63" s="22"/>
      <c r="AO63" s="22"/>
      <c r="AP63" s="22"/>
      <c r="AQ63" s="22"/>
      <c r="AR63" s="22"/>
      <c r="AS63" s="22"/>
      <c r="AT63" s="22"/>
      <c r="AU63" s="22"/>
      <c r="AV63" s="22"/>
      <c r="AX63" s="27"/>
      <c r="AY63" s="12"/>
      <c r="AZ63" s="12"/>
      <c r="BA63" s="12"/>
      <c r="BB63" s="12"/>
      <c r="BC63" s="12"/>
      <c r="BD63" s="12"/>
      <c r="BE63" s="12"/>
      <c r="BF63" s="12"/>
      <c r="BG63" s="12"/>
      <c r="BH63" s="12"/>
      <c r="BI63" s="12"/>
      <c r="BJ63" s="12"/>
      <c r="BK63" s="12"/>
      <c r="BL63" s="12"/>
      <c r="BM63" s="28"/>
      <c r="CH63" s="9">
        <v>61</v>
      </c>
      <c r="CM63" s="22" t="s">
        <v>437</v>
      </c>
      <c r="CN63" s="22"/>
      <c r="CO63" s="22"/>
      <c r="CP63" s="22"/>
      <c r="CQ63" s="22"/>
      <c r="CR63" s="22"/>
      <c r="CS63" s="22"/>
      <c r="CT63" s="22"/>
      <c r="CU63" s="22"/>
      <c r="CV63" s="22"/>
      <c r="CW63" s="22"/>
      <c r="CX63" s="22"/>
      <c r="CY63" s="22"/>
      <c r="CZ63" s="22"/>
      <c r="DA63" s="22"/>
      <c r="DB63" s="25" t="s">
        <v>438</v>
      </c>
      <c r="DC63" s="22"/>
      <c r="DD63" s="22"/>
      <c r="DE63" s="22"/>
      <c r="DF63" s="22"/>
      <c r="DG63" s="22"/>
      <c r="DH63" s="22"/>
      <c r="DI63" s="22"/>
      <c r="DJ63" s="22"/>
      <c r="DK63" s="22"/>
      <c r="DL63" s="22"/>
      <c r="DM63" s="22"/>
      <c r="DN63" s="22"/>
      <c r="DO63" s="22"/>
      <c r="DP63" s="22"/>
      <c r="DR63" s="27"/>
      <c r="DS63" s="12"/>
      <c r="DT63" s="12"/>
      <c r="DU63" s="12"/>
      <c r="DV63" s="12"/>
      <c r="DW63" s="12"/>
      <c r="DX63" s="12"/>
      <c r="DY63" s="12"/>
      <c r="DZ63" s="12"/>
      <c r="EA63" s="12"/>
      <c r="EB63" s="12"/>
      <c r="EC63" s="12"/>
      <c r="ED63" s="12"/>
      <c r="EE63" s="12"/>
      <c r="EF63" s="12"/>
      <c r="EG63" s="28"/>
      <c r="FB63" s="9">
        <v>61</v>
      </c>
      <c r="FG63" s="22" t="s">
        <v>437</v>
      </c>
      <c r="FH63" s="22"/>
      <c r="FI63" s="22"/>
      <c r="FJ63" s="22"/>
      <c r="FK63" s="22"/>
      <c r="FL63" s="22"/>
      <c r="FM63" s="22"/>
      <c r="FN63" s="22"/>
      <c r="FO63" s="22"/>
      <c r="FP63" s="22"/>
      <c r="FQ63" s="22"/>
      <c r="FR63" s="22"/>
      <c r="FS63" s="22"/>
      <c r="FT63" s="22"/>
      <c r="FU63" s="22"/>
      <c r="FV63" s="25" t="s">
        <v>438</v>
      </c>
      <c r="FW63" s="22"/>
      <c r="FX63" s="22"/>
      <c r="FY63" s="22"/>
      <c r="FZ63" s="22"/>
      <c r="GA63" s="22"/>
      <c r="GB63" s="22"/>
      <c r="GC63" s="22"/>
      <c r="GD63" s="22"/>
      <c r="GE63" s="22"/>
      <c r="GF63" s="22"/>
      <c r="GG63" s="22"/>
      <c r="GH63" s="22"/>
      <c r="GI63" s="22"/>
      <c r="GJ63" s="22"/>
      <c r="GL63" s="27"/>
      <c r="GM63" s="12"/>
      <c r="GN63" s="12"/>
      <c r="GO63" s="12"/>
      <c r="GP63" s="12"/>
      <c r="GQ63" s="12"/>
      <c r="GR63" s="12"/>
      <c r="GS63" s="12"/>
      <c r="GT63" s="12"/>
      <c r="GU63" s="12"/>
      <c r="GV63" s="12"/>
      <c r="GW63" s="12"/>
      <c r="GX63" s="12"/>
      <c r="GY63" s="12"/>
      <c r="GZ63" s="12"/>
      <c r="HA63" s="28"/>
      <c r="HV63" s="9">
        <v>61</v>
      </c>
    </row>
    <row r="64" spans="1:230" ht="15" x14ac:dyDescent="0.25">
      <c r="A64" s="10">
        <f t="shared" si="1"/>
        <v>62</v>
      </c>
      <c r="B64" t="s">
        <v>439</v>
      </c>
      <c r="C64" t="s">
        <v>439</v>
      </c>
      <c r="D64" s="10"/>
      <c r="E64" s="10"/>
      <c r="F64" s="10"/>
      <c r="G64" s="10"/>
      <c r="H64" t="s">
        <v>269</v>
      </c>
      <c r="N64" s="9">
        <v>62</v>
      </c>
      <c r="S64" s="22" t="s">
        <v>440</v>
      </c>
      <c r="T64" s="22"/>
      <c r="U64" s="22"/>
      <c r="V64" s="22"/>
      <c r="W64" s="22"/>
      <c r="X64" s="22"/>
      <c r="Y64" s="22"/>
      <c r="Z64" s="22"/>
      <c r="AA64" s="22"/>
      <c r="AB64" s="22"/>
      <c r="AC64" s="22"/>
      <c r="AD64" s="22"/>
      <c r="AE64" s="22"/>
      <c r="AF64" s="22"/>
      <c r="AG64" s="22"/>
      <c r="AH64" s="25" t="s">
        <v>441</v>
      </c>
      <c r="AI64" s="22"/>
      <c r="AJ64" s="22"/>
      <c r="AK64" s="22"/>
      <c r="AL64" s="22"/>
      <c r="AM64" s="22"/>
      <c r="AN64" s="22"/>
      <c r="AO64" s="22"/>
      <c r="AP64" s="22"/>
      <c r="AQ64" s="22"/>
      <c r="AR64" s="22"/>
      <c r="AS64" s="22"/>
      <c r="AT64" s="22"/>
      <c r="AU64" s="22"/>
      <c r="AV64" s="22"/>
      <c r="CH64" s="9">
        <v>62</v>
      </c>
      <c r="CM64" s="22" t="s">
        <v>440</v>
      </c>
      <c r="CN64" s="22"/>
      <c r="CO64" s="22"/>
      <c r="CP64" s="22"/>
      <c r="CQ64" s="22"/>
      <c r="CR64" s="22"/>
      <c r="CS64" s="22"/>
      <c r="CT64" s="22"/>
      <c r="CU64" s="22"/>
      <c r="CV64" s="22"/>
      <c r="CW64" s="22"/>
      <c r="CX64" s="22"/>
      <c r="CY64" s="22"/>
      <c r="CZ64" s="22"/>
      <c r="DA64" s="22"/>
      <c r="DB64" s="25" t="s">
        <v>441</v>
      </c>
      <c r="DC64" s="22"/>
      <c r="DD64" s="22"/>
      <c r="DE64" s="22"/>
      <c r="DF64" s="22"/>
      <c r="DG64" s="22"/>
      <c r="DH64" s="22"/>
      <c r="DI64" s="22"/>
      <c r="DJ64" s="22"/>
      <c r="DK64" s="22"/>
      <c r="DL64" s="22"/>
      <c r="DM64" s="22"/>
      <c r="DN64" s="22"/>
      <c r="DO64" s="22"/>
      <c r="DP64" s="22"/>
      <c r="FB64" s="9">
        <v>62</v>
      </c>
      <c r="FG64" s="22" t="s">
        <v>440</v>
      </c>
      <c r="FH64" s="22"/>
      <c r="FI64" s="22"/>
      <c r="FJ64" s="22"/>
      <c r="FK64" s="22"/>
      <c r="FL64" s="22"/>
      <c r="FM64" s="22"/>
      <c r="FN64" s="22"/>
      <c r="FO64" s="22"/>
      <c r="FP64" s="22"/>
      <c r="FQ64" s="22"/>
      <c r="FR64" s="22"/>
      <c r="FS64" s="22"/>
      <c r="FT64" s="22"/>
      <c r="FU64" s="22"/>
      <c r="FV64" s="25" t="s">
        <v>441</v>
      </c>
      <c r="FW64" s="22"/>
      <c r="FX64" s="22"/>
      <c r="FY64" s="22"/>
      <c r="FZ64" s="22"/>
      <c r="GA64" s="22"/>
      <c r="GB64" s="22"/>
      <c r="GC64" s="22"/>
      <c r="GD64" s="22"/>
      <c r="GE64" s="22"/>
      <c r="GF64" s="22"/>
      <c r="GG64" s="22"/>
      <c r="GH64" s="22"/>
      <c r="GI64" s="22"/>
      <c r="GJ64" s="22"/>
      <c r="HV64" s="9">
        <v>62</v>
      </c>
    </row>
    <row r="65" spans="1:230" ht="15" x14ac:dyDescent="0.25">
      <c r="A65" s="10">
        <f t="shared" si="1"/>
        <v>63</v>
      </c>
      <c r="B65" t="s">
        <v>442</v>
      </c>
      <c r="C65" t="s">
        <v>442</v>
      </c>
      <c r="D65" s="10"/>
      <c r="E65" s="10"/>
      <c r="F65" s="10"/>
      <c r="G65" s="10"/>
      <c r="H65" t="s">
        <v>269</v>
      </c>
      <c r="N65" s="9">
        <v>63</v>
      </c>
      <c r="S65" s="22" t="s">
        <v>443</v>
      </c>
      <c r="T65" s="22"/>
      <c r="U65" s="22"/>
      <c r="V65" s="22"/>
      <c r="W65" s="22"/>
      <c r="X65" s="22"/>
      <c r="Y65" s="22"/>
      <c r="Z65" s="22"/>
      <c r="AA65" s="22"/>
      <c r="AB65" s="22"/>
      <c r="AC65" s="22"/>
      <c r="AD65" s="22"/>
      <c r="AE65" s="22"/>
      <c r="AF65" s="22"/>
      <c r="AG65" s="22"/>
      <c r="AH65" s="25" t="s">
        <v>444</v>
      </c>
      <c r="AI65" s="22"/>
      <c r="AJ65" s="22"/>
      <c r="AK65" s="22"/>
      <c r="AL65" s="22"/>
      <c r="AM65" s="22"/>
      <c r="AN65" s="22"/>
      <c r="AO65" s="22"/>
      <c r="AP65" s="22"/>
      <c r="AQ65" s="22"/>
      <c r="AR65" s="22"/>
      <c r="AS65" s="22"/>
      <c r="AT65" s="22"/>
      <c r="AU65" s="22"/>
      <c r="AV65" s="22"/>
      <c r="CH65" s="9">
        <v>63</v>
      </c>
      <c r="CM65" s="22" t="s">
        <v>443</v>
      </c>
      <c r="CN65" s="22"/>
      <c r="CO65" s="22"/>
      <c r="CP65" s="22"/>
      <c r="CQ65" s="22"/>
      <c r="CR65" s="22"/>
      <c r="CS65" s="22"/>
      <c r="CT65" s="22"/>
      <c r="CU65" s="22"/>
      <c r="CV65" s="22"/>
      <c r="CW65" s="22"/>
      <c r="CX65" s="22"/>
      <c r="CY65" s="22"/>
      <c r="CZ65" s="22"/>
      <c r="DA65" s="22"/>
      <c r="DB65" s="25" t="s">
        <v>444</v>
      </c>
      <c r="DC65" s="22"/>
      <c r="DD65" s="22"/>
      <c r="DE65" s="22"/>
      <c r="DF65" s="22"/>
      <c r="DG65" s="22"/>
      <c r="DH65" s="22"/>
      <c r="DI65" s="22"/>
      <c r="DJ65" s="22"/>
      <c r="DK65" s="22"/>
      <c r="DL65" s="22"/>
      <c r="DM65" s="22"/>
      <c r="DN65" s="22"/>
      <c r="DO65" s="22"/>
      <c r="DP65" s="22"/>
      <c r="FB65" s="9">
        <v>63</v>
      </c>
      <c r="FG65" s="22" t="s">
        <v>443</v>
      </c>
      <c r="FH65" s="22"/>
      <c r="FI65" s="22"/>
      <c r="FJ65" s="22"/>
      <c r="FK65" s="22"/>
      <c r="FL65" s="22"/>
      <c r="FM65" s="22"/>
      <c r="FN65" s="22"/>
      <c r="FO65" s="22"/>
      <c r="FP65" s="22"/>
      <c r="FQ65" s="22"/>
      <c r="FR65" s="22"/>
      <c r="FS65" s="22"/>
      <c r="FT65" s="22"/>
      <c r="FU65" s="22"/>
      <c r="FV65" s="25" t="s">
        <v>444</v>
      </c>
      <c r="FW65" s="22"/>
      <c r="FX65" s="22"/>
      <c r="FY65" s="22"/>
      <c r="FZ65" s="22"/>
      <c r="GA65" s="22"/>
      <c r="GB65" s="22"/>
      <c r="GC65" s="22"/>
      <c r="GD65" s="22"/>
      <c r="GE65" s="22"/>
      <c r="GF65" s="22"/>
      <c r="GG65" s="22"/>
      <c r="GH65" s="22"/>
      <c r="GI65" s="22"/>
      <c r="GJ65" s="22"/>
      <c r="HV65" s="9">
        <v>63</v>
      </c>
    </row>
    <row r="66" spans="1:230" ht="15" x14ac:dyDescent="0.25">
      <c r="A66" s="10">
        <f t="shared" si="1"/>
        <v>64</v>
      </c>
      <c r="B66" t="s">
        <v>445</v>
      </c>
      <c r="C66" t="s">
        <v>445</v>
      </c>
      <c r="D66" s="10"/>
      <c r="E66" s="10"/>
      <c r="F66" s="10"/>
      <c r="G66" s="10"/>
      <c r="H66" t="s">
        <v>269</v>
      </c>
      <c r="N66" s="9">
        <v>64</v>
      </c>
      <c r="S66" s="22" t="s">
        <v>446</v>
      </c>
      <c r="T66" s="22"/>
      <c r="U66" s="22"/>
      <c r="V66" s="22"/>
      <c r="W66" s="22"/>
      <c r="X66" s="22"/>
      <c r="Y66" s="22"/>
      <c r="Z66" s="22"/>
      <c r="AA66" s="22"/>
      <c r="AB66" s="22"/>
      <c r="AC66" s="22"/>
      <c r="AD66" s="22"/>
      <c r="AE66" s="22"/>
      <c r="AF66" s="22"/>
      <c r="AG66" s="22"/>
      <c r="AH66" s="25" t="s">
        <v>447</v>
      </c>
      <c r="AI66" s="22"/>
      <c r="AJ66" s="22"/>
      <c r="AK66" s="22"/>
      <c r="AL66" s="22"/>
      <c r="AM66" s="22"/>
      <c r="AN66" s="22"/>
      <c r="AO66" s="22"/>
      <c r="AP66" s="22"/>
      <c r="AQ66" s="22"/>
      <c r="AR66" s="22"/>
      <c r="AS66" s="22"/>
      <c r="AT66" s="22"/>
      <c r="AU66" s="22"/>
      <c r="AV66" s="22"/>
      <c r="CH66" s="9">
        <v>64</v>
      </c>
      <c r="CM66" s="22" t="s">
        <v>446</v>
      </c>
      <c r="CN66" s="22"/>
      <c r="CO66" s="22"/>
      <c r="CP66" s="22"/>
      <c r="CQ66" s="22"/>
      <c r="CR66" s="22"/>
      <c r="CS66" s="22"/>
      <c r="CT66" s="22"/>
      <c r="CU66" s="22"/>
      <c r="CV66" s="22"/>
      <c r="CW66" s="22"/>
      <c r="CX66" s="22"/>
      <c r="CY66" s="22"/>
      <c r="CZ66" s="22"/>
      <c r="DA66" s="22"/>
      <c r="DB66" s="25" t="s">
        <v>447</v>
      </c>
      <c r="DC66" s="22"/>
      <c r="DD66" s="22"/>
      <c r="DE66" s="22"/>
      <c r="DF66" s="22"/>
      <c r="DG66" s="22"/>
      <c r="DH66" s="22"/>
      <c r="DI66" s="22"/>
      <c r="DJ66" s="22"/>
      <c r="DK66" s="22"/>
      <c r="DL66" s="22"/>
      <c r="DM66" s="22"/>
      <c r="DN66" s="22"/>
      <c r="DO66" s="22"/>
      <c r="DP66" s="22"/>
      <c r="FB66" s="9">
        <v>64</v>
      </c>
      <c r="FG66" s="22" t="s">
        <v>446</v>
      </c>
      <c r="FH66" s="22"/>
      <c r="FI66" s="22"/>
      <c r="FJ66" s="22"/>
      <c r="FK66" s="22"/>
      <c r="FL66" s="22"/>
      <c r="FM66" s="22"/>
      <c r="FN66" s="22"/>
      <c r="FO66" s="22"/>
      <c r="FP66" s="22"/>
      <c r="FQ66" s="22"/>
      <c r="FR66" s="22"/>
      <c r="FS66" s="22"/>
      <c r="FT66" s="22"/>
      <c r="FU66" s="22"/>
      <c r="FV66" s="25" t="s">
        <v>447</v>
      </c>
      <c r="FW66" s="22"/>
      <c r="FX66" s="22"/>
      <c r="FY66" s="22"/>
      <c r="FZ66" s="22"/>
      <c r="GA66" s="22"/>
      <c r="GB66" s="22"/>
      <c r="GC66" s="22"/>
      <c r="GD66" s="22"/>
      <c r="GE66" s="22"/>
      <c r="GF66" s="22"/>
      <c r="GG66" s="22"/>
      <c r="GH66" s="22"/>
      <c r="GI66" s="22"/>
      <c r="GJ66" s="22"/>
      <c r="HV66" s="9">
        <v>64</v>
      </c>
    </row>
    <row r="67" spans="1:230" ht="15" x14ac:dyDescent="0.25">
      <c r="A67" s="10">
        <f t="shared" ref="A67:A81" si="2">ROW() - 2</f>
        <v>65</v>
      </c>
      <c r="B67" t="s">
        <v>448</v>
      </c>
      <c r="C67" t="s">
        <v>448</v>
      </c>
      <c r="D67" s="10"/>
      <c r="E67" s="10"/>
      <c r="F67" s="10"/>
      <c r="G67" s="10"/>
      <c r="H67" t="s">
        <v>269</v>
      </c>
      <c r="N67" s="9">
        <v>65</v>
      </c>
      <c r="S67" s="22" t="s">
        <v>449</v>
      </c>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CH67" s="9">
        <v>65</v>
      </c>
      <c r="CM67" s="22" t="s">
        <v>449</v>
      </c>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FB67" s="9">
        <v>65</v>
      </c>
      <c r="FG67" s="22" t="s">
        <v>449</v>
      </c>
      <c r="FH67" s="22"/>
      <c r="FI67" s="22"/>
      <c r="FJ67" s="22"/>
      <c r="FK67" s="22"/>
      <c r="FL67" s="22"/>
      <c r="FM67" s="22"/>
      <c r="FN67" s="22"/>
      <c r="FO67" s="22"/>
      <c r="FP67" s="22"/>
      <c r="FQ67" s="22"/>
      <c r="FR67" s="22"/>
      <c r="FS67" s="22"/>
      <c r="FT67" s="22"/>
      <c r="FU67" s="22"/>
      <c r="FV67" s="22"/>
      <c r="FW67" s="22"/>
      <c r="FX67" s="22"/>
      <c r="FY67" s="22"/>
      <c r="FZ67" s="22"/>
      <c r="GA67" s="22"/>
      <c r="GB67" s="22"/>
      <c r="GC67" s="22"/>
      <c r="GD67" s="22"/>
      <c r="GE67" s="22"/>
      <c r="GF67" s="22"/>
      <c r="GG67" s="22"/>
      <c r="GH67" s="22"/>
      <c r="GI67" s="22"/>
      <c r="GJ67" s="22"/>
      <c r="HV67" s="9">
        <v>65</v>
      </c>
    </row>
    <row r="68" spans="1:230" ht="15" x14ac:dyDescent="0.25">
      <c r="A68" s="10">
        <f t="shared" si="2"/>
        <v>66</v>
      </c>
      <c r="B68" t="s">
        <v>450</v>
      </c>
      <c r="C68" t="s">
        <v>450</v>
      </c>
      <c r="D68" s="10"/>
      <c r="E68" s="10"/>
      <c r="F68" s="10"/>
      <c r="G68" s="10"/>
      <c r="H68" t="s">
        <v>269</v>
      </c>
      <c r="N68" s="9">
        <v>66</v>
      </c>
      <c r="S68" s="22" t="s">
        <v>451</v>
      </c>
      <c r="T68" s="22"/>
      <c r="U68" s="22"/>
      <c r="V68" s="22"/>
      <c r="W68" s="22"/>
      <c r="X68" s="22"/>
      <c r="Y68" s="22"/>
      <c r="Z68" s="22"/>
      <c r="AA68" s="22"/>
      <c r="AB68" s="22"/>
      <c r="AC68" s="22"/>
      <c r="AD68" s="22"/>
      <c r="AE68" s="22"/>
      <c r="AF68" s="22"/>
      <c r="AG68" s="22"/>
      <c r="AH68" s="25" t="s">
        <v>452</v>
      </c>
      <c r="AI68" s="22"/>
      <c r="AJ68" s="22"/>
      <c r="AK68" s="22"/>
      <c r="AL68" s="22"/>
      <c r="AM68" s="22"/>
      <c r="AN68" s="22"/>
      <c r="AO68" s="22"/>
      <c r="AP68" s="22"/>
      <c r="AQ68" s="22"/>
      <c r="AR68" s="22"/>
      <c r="AS68" s="22"/>
      <c r="AT68" s="22"/>
      <c r="AU68" s="22"/>
      <c r="AV68" s="22"/>
      <c r="CH68" s="9">
        <v>66</v>
      </c>
      <c r="CM68" s="22" t="s">
        <v>451</v>
      </c>
      <c r="CN68" s="22"/>
      <c r="CO68" s="22"/>
      <c r="CP68" s="22"/>
      <c r="CQ68" s="22"/>
      <c r="CR68" s="22"/>
      <c r="CS68" s="22"/>
      <c r="CT68" s="22"/>
      <c r="CU68" s="22"/>
      <c r="CV68" s="22"/>
      <c r="CW68" s="22"/>
      <c r="CX68" s="22"/>
      <c r="CY68" s="22"/>
      <c r="CZ68" s="22"/>
      <c r="DA68" s="22"/>
      <c r="DB68" s="25" t="s">
        <v>452</v>
      </c>
      <c r="DC68" s="22"/>
      <c r="DD68" s="22"/>
      <c r="DE68" s="22"/>
      <c r="DF68" s="22"/>
      <c r="DG68" s="22"/>
      <c r="DH68" s="22"/>
      <c r="DI68" s="22"/>
      <c r="DJ68" s="22"/>
      <c r="DK68" s="22"/>
      <c r="DL68" s="22"/>
      <c r="DM68" s="22"/>
      <c r="DN68" s="22"/>
      <c r="DO68" s="22"/>
      <c r="DP68" s="22"/>
      <c r="FB68" s="9">
        <v>66</v>
      </c>
      <c r="FG68" s="22" t="s">
        <v>451</v>
      </c>
      <c r="FH68" s="22"/>
      <c r="FI68" s="22"/>
      <c r="FJ68" s="22"/>
      <c r="FK68" s="22"/>
      <c r="FL68" s="22"/>
      <c r="FM68" s="22"/>
      <c r="FN68" s="22"/>
      <c r="FO68" s="22"/>
      <c r="FP68" s="22"/>
      <c r="FQ68" s="22"/>
      <c r="FR68" s="22"/>
      <c r="FS68" s="22"/>
      <c r="FT68" s="22"/>
      <c r="FU68" s="22"/>
      <c r="FV68" s="25" t="s">
        <v>452</v>
      </c>
      <c r="FW68" s="22"/>
      <c r="FX68" s="22"/>
      <c r="FY68" s="22"/>
      <c r="FZ68" s="22"/>
      <c r="GA68" s="22"/>
      <c r="GB68" s="22"/>
      <c r="GC68" s="22"/>
      <c r="GD68" s="22"/>
      <c r="GE68" s="22"/>
      <c r="GF68" s="22"/>
      <c r="GG68" s="22"/>
      <c r="GH68" s="22"/>
      <c r="GI68" s="22"/>
      <c r="GJ68" s="22"/>
      <c r="HV68" s="9">
        <v>66</v>
      </c>
    </row>
    <row r="69" spans="1:230" ht="15" x14ac:dyDescent="0.25">
      <c r="A69" s="10">
        <f t="shared" si="2"/>
        <v>67</v>
      </c>
      <c r="B69" t="s">
        <v>453</v>
      </c>
      <c r="C69" t="s">
        <v>453</v>
      </c>
      <c r="D69" s="10"/>
      <c r="E69" s="10"/>
      <c r="F69" s="10"/>
      <c r="G69" s="10"/>
      <c r="H69" t="s">
        <v>269</v>
      </c>
      <c r="N69" s="9">
        <v>67</v>
      </c>
      <c r="S69" s="22" t="s">
        <v>454</v>
      </c>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CH69" s="9">
        <v>67</v>
      </c>
      <c r="CM69" s="22" t="s">
        <v>454</v>
      </c>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FB69" s="9">
        <v>67</v>
      </c>
      <c r="FG69" s="22" t="s">
        <v>454</v>
      </c>
      <c r="FH69" s="22"/>
      <c r="FI69" s="22"/>
      <c r="FJ69" s="22"/>
      <c r="FK69" s="22"/>
      <c r="FL69" s="22"/>
      <c r="FM69" s="22"/>
      <c r="FN69" s="22"/>
      <c r="FO69" s="22"/>
      <c r="FP69" s="22"/>
      <c r="FQ69" s="22"/>
      <c r="FR69" s="22"/>
      <c r="FS69" s="22"/>
      <c r="FT69" s="22"/>
      <c r="FU69" s="22"/>
      <c r="FV69" s="22"/>
      <c r="FW69" s="22"/>
      <c r="FX69" s="22"/>
      <c r="FY69" s="22"/>
      <c r="FZ69" s="22"/>
      <c r="GA69" s="22"/>
      <c r="GB69" s="22"/>
      <c r="GC69" s="22"/>
      <c r="GD69" s="22"/>
      <c r="GE69" s="22"/>
      <c r="GF69" s="22"/>
      <c r="GG69" s="22"/>
      <c r="GH69" s="22"/>
      <c r="GI69" s="22"/>
      <c r="GJ69" s="22"/>
      <c r="HV69" s="9">
        <v>67</v>
      </c>
    </row>
    <row r="70" spans="1:230" ht="15" x14ac:dyDescent="0.25">
      <c r="A70" s="10">
        <f t="shared" si="2"/>
        <v>68</v>
      </c>
      <c r="B70" t="s">
        <v>455</v>
      </c>
      <c r="C70" t="s">
        <v>455</v>
      </c>
      <c r="D70" s="10"/>
      <c r="E70" s="10"/>
      <c r="F70" s="10"/>
      <c r="G70" s="10"/>
      <c r="H70" t="s">
        <v>269</v>
      </c>
      <c r="N70" s="9">
        <v>68</v>
      </c>
      <c r="S70" s="22" t="s">
        <v>456</v>
      </c>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CH70" s="9">
        <v>68</v>
      </c>
      <c r="CM70" s="22" t="s">
        <v>456</v>
      </c>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FB70" s="9">
        <v>68</v>
      </c>
      <c r="FG70" s="22" t="s">
        <v>456</v>
      </c>
      <c r="FH70" s="22"/>
      <c r="FI70" s="22"/>
      <c r="FJ70" s="22"/>
      <c r="FK70" s="22"/>
      <c r="FL70" s="22"/>
      <c r="FM70" s="22"/>
      <c r="FN70" s="22"/>
      <c r="FO70" s="22"/>
      <c r="FP70" s="22"/>
      <c r="FQ70" s="22"/>
      <c r="FR70" s="22"/>
      <c r="FS70" s="22"/>
      <c r="FT70" s="22"/>
      <c r="FU70" s="22"/>
      <c r="FV70" s="22"/>
      <c r="FW70" s="22"/>
      <c r="FX70" s="22"/>
      <c r="FY70" s="22"/>
      <c r="FZ70" s="22"/>
      <c r="GA70" s="22"/>
      <c r="GB70" s="22"/>
      <c r="GC70" s="22"/>
      <c r="GD70" s="22"/>
      <c r="GE70" s="22"/>
      <c r="GF70" s="22"/>
      <c r="GG70" s="22"/>
      <c r="GH70" s="22"/>
      <c r="GI70" s="22"/>
      <c r="GJ70" s="22"/>
      <c r="HV70" s="9">
        <v>68</v>
      </c>
    </row>
    <row r="71" spans="1:230" ht="15" x14ac:dyDescent="0.25">
      <c r="A71" s="10">
        <f t="shared" si="2"/>
        <v>69</v>
      </c>
      <c r="B71" t="s">
        <v>457</v>
      </c>
      <c r="C71" t="s">
        <v>457</v>
      </c>
      <c r="D71" s="10"/>
      <c r="E71" s="10"/>
      <c r="F71" s="10"/>
      <c r="G71" s="10"/>
      <c r="H71" t="s">
        <v>269</v>
      </c>
      <c r="N71" s="9">
        <v>69</v>
      </c>
      <c r="S71" s="22" t="s">
        <v>458</v>
      </c>
      <c r="T71" s="22"/>
      <c r="U71" s="22"/>
      <c r="V71" s="22"/>
      <c r="W71" s="22"/>
      <c r="X71" s="22"/>
      <c r="Y71" s="22"/>
      <c r="Z71" s="22"/>
      <c r="AA71" s="22"/>
      <c r="AB71" s="22"/>
      <c r="AC71" s="22"/>
      <c r="AD71" s="22"/>
      <c r="AE71" s="22"/>
      <c r="AF71" s="22"/>
      <c r="AG71" s="22"/>
      <c r="AH71" s="25" t="s">
        <v>459</v>
      </c>
      <c r="AI71" s="22"/>
      <c r="AJ71" s="22"/>
      <c r="AK71" s="22"/>
      <c r="AL71" s="22"/>
      <c r="AM71" s="22"/>
      <c r="AN71" s="22"/>
      <c r="AO71" s="22"/>
      <c r="AP71" s="22"/>
      <c r="AQ71" s="22"/>
      <c r="AR71" s="22"/>
      <c r="AS71" s="22"/>
      <c r="AT71" s="22"/>
      <c r="AU71" s="22"/>
      <c r="AV71" s="22"/>
      <c r="CH71" s="9">
        <v>69</v>
      </c>
      <c r="CM71" s="22" t="s">
        <v>458</v>
      </c>
      <c r="CN71" s="22"/>
      <c r="CO71" s="22"/>
      <c r="CP71" s="22"/>
      <c r="CQ71" s="22"/>
      <c r="CR71" s="22"/>
      <c r="CS71" s="22"/>
      <c r="CT71" s="22"/>
      <c r="CU71" s="22"/>
      <c r="CV71" s="22"/>
      <c r="CW71" s="22"/>
      <c r="CX71" s="22"/>
      <c r="CY71" s="22"/>
      <c r="CZ71" s="22"/>
      <c r="DA71" s="22"/>
      <c r="DB71" s="25" t="s">
        <v>459</v>
      </c>
      <c r="DC71" s="22"/>
      <c r="DD71" s="22"/>
      <c r="DE71" s="22"/>
      <c r="DF71" s="22"/>
      <c r="DG71" s="22"/>
      <c r="DH71" s="22"/>
      <c r="DI71" s="22"/>
      <c r="DJ71" s="22"/>
      <c r="DK71" s="22"/>
      <c r="DL71" s="22"/>
      <c r="DM71" s="22"/>
      <c r="DN71" s="22"/>
      <c r="DO71" s="22"/>
      <c r="DP71" s="22"/>
      <c r="FB71" s="9">
        <v>69</v>
      </c>
      <c r="FG71" s="22" t="s">
        <v>458</v>
      </c>
      <c r="FH71" s="22"/>
      <c r="FI71" s="22"/>
      <c r="FJ71" s="22"/>
      <c r="FK71" s="22"/>
      <c r="FL71" s="22"/>
      <c r="FM71" s="22"/>
      <c r="FN71" s="22"/>
      <c r="FO71" s="22"/>
      <c r="FP71" s="22"/>
      <c r="FQ71" s="22"/>
      <c r="FR71" s="22"/>
      <c r="FS71" s="22"/>
      <c r="FT71" s="22"/>
      <c r="FU71" s="22"/>
      <c r="FV71" s="25" t="s">
        <v>459</v>
      </c>
      <c r="FW71" s="22"/>
      <c r="FX71" s="22"/>
      <c r="FY71" s="22"/>
      <c r="FZ71" s="22"/>
      <c r="GA71" s="22"/>
      <c r="GB71" s="22"/>
      <c r="GC71" s="22"/>
      <c r="GD71" s="22"/>
      <c r="GE71" s="22"/>
      <c r="GF71" s="22"/>
      <c r="GG71" s="22"/>
      <c r="GH71" s="22"/>
      <c r="GI71" s="22"/>
      <c r="GJ71" s="22"/>
      <c r="HV71" s="9">
        <v>69</v>
      </c>
    </row>
    <row r="72" spans="1:230" ht="15" x14ac:dyDescent="0.25">
      <c r="A72" s="10">
        <f t="shared" si="2"/>
        <v>70</v>
      </c>
      <c r="B72" t="s">
        <v>460</v>
      </c>
      <c r="C72" t="s">
        <v>460</v>
      </c>
      <c r="D72" s="10"/>
      <c r="E72" s="10"/>
      <c r="F72" s="10"/>
      <c r="G72" s="10"/>
      <c r="H72" t="s">
        <v>269</v>
      </c>
      <c r="N72" s="9">
        <v>70</v>
      </c>
      <c r="S72" s="22" t="s">
        <v>461</v>
      </c>
      <c r="T72" s="22"/>
      <c r="U72" s="22"/>
      <c r="V72" s="22"/>
      <c r="W72" s="22"/>
      <c r="X72" s="22"/>
      <c r="Y72" s="22"/>
      <c r="Z72" s="22"/>
      <c r="AA72" s="22"/>
      <c r="AB72" s="22"/>
      <c r="AC72" s="22"/>
      <c r="AD72" s="22"/>
      <c r="AE72" s="22"/>
      <c r="AF72" s="22"/>
      <c r="AG72" s="22"/>
      <c r="AH72" s="22"/>
      <c r="AI72" s="22"/>
      <c r="AJ72" s="22"/>
      <c r="AK72" s="22"/>
      <c r="AL72" s="22"/>
      <c r="AM72" s="22"/>
      <c r="AN72" s="22"/>
      <c r="AO72" s="22"/>
      <c r="AP72" s="26" t="s">
        <v>462</v>
      </c>
      <c r="AQ72" s="22"/>
      <c r="AR72" s="22"/>
      <c r="AS72" s="22"/>
      <c r="AT72" s="22"/>
      <c r="AU72" s="22"/>
      <c r="AV72" s="22"/>
      <c r="CH72" s="9">
        <v>70</v>
      </c>
      <c r="CM72" s="22" t="s">
        <v>461</v>
      </c>
      <c r="CN72" s="22"/>
      <c r="CO72" s="22"/>
      <c r="CP72" s="22"/>
      <c r="CQ72" s="22"/>
      <c r="CR72" s="22"/>
      <c r="CS72" s="22"/>
      <c r="CT72" s="22"/>
      <c r="CU72" s="22"/>
      <c r="CV72" s="22"/>
      <c r="CW72" s="22"/>
      <c r="CX72" s="22"/>
      <c r="CY72" s="22"/>
      <c r="CZ72" s="22"/>
      <c r="DA72" s="22"/>
      <c r="DB72" s="22"/>
      <c r="DC72" s="22"/>
      <c r="DD72" s="22"/>
      <c r="DE72" s="22"/>
      <c r="DF72" s="22"/>
      <c r="DG72" s="22"/>
      <c r="DH72" s="22"/>
      <c r="DI72" s="22"/>
      <c r="DJ72" s="26" t="s">
        <v>462</v>
      </c>
      <c r="DK72" s="22"/>
      <c r="DL72" s="22"/>
      <c r="DM72" s="22"/>
      <c r="DN72" s="22"/>
      <c r="DO72" s="22"/>
      <c r="DP72" s="22"/>
      <c r="FB72" s="9">
        <v>70</v>
      </c>
      <c r="FG72" s="22" t="s">
        <v>461</v>
      </c>
      <c r="FH72" s="22"/>
      <c r="FI72" s="22"/>
      <c r="FJ72" s="22"/>
      <c r="FK72" s="22"/>
      <c r="FL72" s="22"/>
      <c r="FM72" s="22"/>
      <c r="FN72" s="22"/>
      <c r="FO72" s="22"/>
      <c r="FP72" s="22"/>
      <c r="FQ72" s="22"/>
      <c r="FR72" s="22"/>
      <c r="FS72" s="22"/>
      <c r="FT72" s="22"/>
      <c r="FU72" s="22"/>
      <c r="FV72" s="22"/>
      <c r="FW72" s="22"/>
      <c r="FX72" s="22"/>
      <c r="FY72" s="22"/>
      <c r="FZ72" s="22"/>
      <c r="GA72" s="22"/>
      <c r="GB72" s="22"/>
      <c r="GC72" s="22"/>
      <c r="GD72" s="26" t="s">
        <v>462</v>
      </c>
      <c r="GE72" s="22"/>
      <c r="GF72" s="22"/>
      <c r="GG72" s="22"/>
      <c r="GH72" s="22"/>
      <c r="GI72" s="22"/>
      <c r="GJ72" s="22"/>
      <c r="HV72" s="9">
        <v>70</v>
      </c>
    </row>
    <row r="73" spans="1:230" ht="15" x14ac:dyDescent="0.25">
      <c r="A73" s="10">
        <f t="shared" si="2"/>
        <v>71</v>
      </c>
      <c r="B73" t="s">
        <v>463</v>
      </c>
      <c r="C73" t="s">
        <v>463</v>
      </c>
      <c r="D73" s="10"/>
      <c r="E73" s="10"/>
      <c r="F73" s="10"/>
      <c r="G73" s="10"/>
      <c r="H73" t="s">
        <v>269</v>
      </c>
      <c r="N73" s="9">
        <v>71</v>
      </c>
      <c r="S73" s="22" t="s">
        <v>464</v>
      </c>
      <c r="T73" s="22"/>
      <c r="U73" s="22"/>
      <c r="V73" s="22"/>
      <c r="W73" s="22"/>
      <c r="X73" s="22"/>
      <c r="Y73" s="22"/>
      <c r="Z73" s="22"/>
      <c r="AA73" s="22"/>
      <c r="AB73" s="22"/>
      <c r="AC73" s="22"/>
      <c r="AD73" s="22"/>
      <c r="AE73" s="22"/>
      <c r="AF73" s="22"/>
      <c r="AG73" s="22"/>
      <c r="AH73" s="22"/>
      <c r="AI73" s="22"/>
      <c r="AJ73" s="22"/>
      <c r="AK73" s="22"/>
      <c r="AL73" s="22"/>
      <c r="AM73" s="22"/>
      <c r="AN73" s="22"/>
      <c r="AO73" s="22"/>
      <c r="AP73" s="26" t="s">
        <v>465</v>
      </c>
      <c r="AQ73" s="22"/>
      <c r="AR73" s="22"/>
      <c r="AS73" s="22"/>
      <c r="AT73" s="22"/>
      <c r="AU73" s="22"/>
      <c r="AV73" s="22"/>
      <c r="CH73" s="9">
        <v>71</v>
      </c>
      <c r="CM73" s="22" t="s">
        <v>464</v>
      </c>
      <c r="CN73" s="22"/>
      <c r="CO73" s="22"/>
      <c r="CP73" s="22"/>
      <c r="CQ73" s="22"/>
      <c r="CR73" s="22"/>
      <c r="CS73" s="22"/>
      <c r="CT73" s="22"/>
      <c r="CU73" s="22"/>
      <c r="CV73" s="22"/>
      <c r="CW73" s="22"/>
      <c r="CX73" s="22"/>
      <c r="CY73" s="22"/>
      <c r="CZ73" s="22"/>
      <c r="DA73" s="22"/>
      <c r="DB73" s="22"/>
      <c r="DC73" s="22"/>
      <c r="DD73" s="22"/>
      <c r="DE73" s="22"/>
      <c r="DF73" s="22"/>
      <c r="DG73" s="22"/>
      <c r="DH73" s="22"/>
      <c r="DI73" s="22"/>
      <c r="DJ73" s="26" t="s">
        <v>465</v>
      </c>
      <c r="DK73" s="22"/>
      <c r="DL73" s="22"/>
      <c r="DM73" s="22"/>
      <c r="DN73" s="22"/>
      <c r="DO73" s="22"/>
      <c r="DP73" s="22"/>
      <c r="FB73" s="9">
        <v>71</v>
      </c>
      <c r="FG73" s="22" t="s">
        <v>464</v>
      </c>
      <c r="FH73" s="22"/>
      <c r="FI73" s="22"/>
      <c r="FJ73" s="22"/>
      <c r="FK73" s="22"/>
      <c r="FL73" s="22"/>
      <c r="FM73" s="22"/>
      <c r="FN73" s="22"/>
      <c r="FO73" s="22"/>
      <c r="FP73" s="22"/>
      <c r="FQ73" s="22"/>
      <c r="FR73" s="22"/>
      <c r="FS73" s="22"/>
      <c r="FT73" s="22"/>
      <c r="FU73" s="22"/>
      <c r="FV73" s="22"/>
      <c r="FW73" s="22"/>
      <c r="FX73" s="22"/>
      <c r="FY73" s="22"/>
      <c r="FZ73" s="22"/>
      <c r="GA73" s="22"/>
      <c r="GB73" s="22"/>
      <c r="GC73" s="22"/>
      <c r="GD73" s="26" t="s">
        <v>465</v>
      </c>
      <c r="GE73" s="22"/>
      <c r="GF73" s="22"/>
      <c r="GG73" s="22"/>
      <c r="GH73" s="22"/>
      <c r="GI73" s="22"/>
      <c r="GJ73" s="22"/>
      <c r="HV73" s="9">
        <v>71</v>
      </c>
    </row>
    <row r="74" spans="1:230" ht="15" x14ac:dyDescent="0.25">
      <c r="A74" s="10">
        <f t="shared" si="2"/>
        <v>72</v>
      </c>
      <c r="B74" t="s">
        <v>466</v>
      </c>
      <c r="C74" t="s">
        <v>466</v>
      </c>
      <c r="D74" s="10"/>
      <c r="E74" s="10"/>
      <c r="F74" s="10"/>
      <c r="G74" s="10"/>
      <c r="H74" t="s">
        <v>269</v>
      </c>
      <c r="N74" s="9">
        <v>72</v>
      </c>
      <c r="S74" s="22" t="s">
        <v>467</v>
      </c>
      <c r="T74" s="22"/>
      <c r="U74" s="22"/>
      <c r="V74" s="22"/>
      <c r="W74" s="22"/>
      <c r="X74" s="22"/>
      <c r="Y74" s="22"/>
      <c r="Z74" s="22"/>
      <c r="AA74" s="22"/>
      <c r="AB74" s="22"/>
      <c r="AC74" s="22"/>
      <c r="AD74" s="22"/>
      <c r="AE74" s="22"/>
      <c r="AF74" s="22"/>
      <c r="AG74" s="22"/>
      <c r="AH74" s="22"/>
      <c r="AI74" s="22"/>
      <c r="AJ74" s="22"/>
      <c r="AK74" s="22"/>
      <c r="AL74" s="22"/>
      <c r="AM74" s="22"/>
      <c r="AN74" s="22"/>
      <c r="AO74" s="22"/>
      <c r="AP74" s="26" t="s">
        <v>468</v>
      </c>
      <c r="AQ74" s="22"/>
      <c r="AR74" s="22"/>
      <c r="AS74" s="22"/>
      <c r="AT74" s="22"/>
      <c r="AU74" s="22"/>
      <c r="AV74" s="22"/>
      <c r="CH74" s="9">
        <v>72</v>
      </c>
      <c r="CM74" s="22" t="s">
        <v>467</v>
      </c>
      <c r="CN74" s="22"/>
      <c r="CO74" s="22"/>
      <c r="CP74" s="22"/>
      <c r="CQ74" s="22"/>
      <c r="CR74" s="22"/>
      <c r="CS74" s="22"/>
      <c r="CT74" s="22"/>
      <c r="CU74" s="22"/>
      <c r="CV74" s="22"/>
      <c r="CW74" s="22"/>
      <c r="CX74" s="22"/>
      <c r="CY74" s="22"/>
      <c r="CZ74" s="22"/>
      <c r="DA74" s="22"/>
      <c r="DB74" s="22"/>
      <c r="DC74" s="22"/>
      <c r="DD74" s="22"/>
      <c r="DE74" s="22"/>
      <c r="DF74" s="22"/>
      <c r="DG74" s="22"/>
      <c r="DH74" s="22"/>
      <c r="DI74" s="22"/>
      <c r="DJ74" s="26" t="s">
        <v>468</v>
      </c>
      <c r="DK74" s="22"/>
      <c r="DL74" s="22"/>
      <c r="DM74" s="22"/>
      <c r="DN74" s="22"/>
      <c r="DO74" s="22"/>
      <c r="DP74" s="22"/>
      <c r="FB74" s="9">
        <v>72</v>
      </c>
      <c r="FG74" s="22" t="s">
        <v>467</v>
      </c>
      <c r="FH74" s="22"/>
      <c r="FI74" s="22"/>
      <c r="FJ74" s="22"/>
      <c r="FK74" s="22"/>
      <c r="FL74" s="22"/>
      <c r="FM74" s="22"/>
      <c r="FN74" s="22"/>
      <c r="FO74" s="22"/>
      <c r="FP74" s="22"/>
      <c r="FQ74" s="22"/>
      <c r="FR74" s="22"/>
      <c r="FS74" s="22"/>
      <c r="FT74" s="22"/>
      <c r="FU74" s="22"/>
      <c r="FV74" s="22"/>
      <c r="FW74" s="22"/>
      <c r="FX74" s="22"/>
      <c r="FY74" s="22"/>
      <c r="FZ74" s="22"/>
      <c r="GA74" s="22"/>
      <c r="GB74" s="22"/>
      <c r="GC74" s="22"/>
      <c r="GD74" s="26" t="s">
        <v>468</v>
      </c>
      <c r="GE74" s="22"/>
      <c r="GF74" s="22"/>
      <c r="GG74" s="22"/>
      <c r="GH74" s="22"/>
      <c r="GI74" s="22"/>
      <c r="GJ74" s="22"/>
      <c r="HV74" s="9">
        <v>72</v>
      </c>
    </row>
    <row r="75" spans="1:230" ht="15" x14ac:dyDescent="0.25">
      <c r="A75" s="10">
        <f t="shared" si="2"/>
        <v>73</v>
      </c>
      <c r="B75" t="s">
        <v>469</v>
      </c>
      <c r="C75" t="s">
        <v>469</v>
      </c>
      <c r="D75" s="10"/>
      <c r="E75" s="10"/>
      <c r="F75" s="10"/>
      <c r="G75" s="10"/>
      <c r="H75" t="s">
        <v>269</v>
      </c>
      <c r="N75" s="9">
        <v>73</v>
      </c>
      <c r="S75" s="22" t="s">
        <v>470</v>
      </c>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5" t="s">
        <v>452</v>
      </c>
      <c r="AT75" s="22"/>
      <c r="AU75" s="22"/>
      <c r="AV75" s="22"/>
      <c r="CH75" s="9">
        <v>73</v>
      </c>
      <c r="CM75" s="22" t="s">
        <v>470</v>
      </c>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5" t="s">
        <v>452</v>
      </c>
      <c r="DN75" s="22"/>
      <c r="DO75" s="22"/>
      <c r="DP75" s="22"/>
      <c r="FB75" s="9">
        <v>73</v>
      </c>
      <c r="FG75" s="22" t="s">
        <v>470</v>
      </c>
      <c r="FH75" s="22"/>
      <c r="FI75" s="22"/>
      <c r="FJ75" s="22"/>
      <c r="FK75" s="22"/>
      <c r="FL75" s="22"/>
      <c r="FM75" s="22"/>
      <c r="FN75" s="22"/>
      <c r="FO75" s="22"/>
      <c r="FP75" s="22"/>
      <c r="FQ75" s="22"/>
      <c r="FR75" s="22"/>
      <c r="FS75" s="22"/>
      <c r="FT75" s="22"/>
      <c r="FU75" s="22"/>
      <c r="FV75" s="22"/>
      <c r="FW75" s="22"/>
      <c r="FX75" s="22"/>
      <c r="FY75" s="22"/>
      <c r="FZ75" s="22"/>
      <c r="GA75" s="22"/>
      <c r="GB75" s="22"/>
      <c r="GC75" s="22"/>
      <c r="GD75" s="22"/>
      <c r="GE75" s="22"/>
      <c r="GF75" s="22"/>
      <c r="GG75" s="25" t="s">
        <v>452</v>
      </c>
      <c r="GH75" s="22"/>
      <c r="GI75" s="22"/>
      <c r="GJ75" s="22"/>
      <c r="HV75" s="9">
        <v>73</v>
      </c>
    </row>
    <row r="76" spans="1:230" ht="15" x14ac:dyDescent="0.25">
      <c r="A76" s="10">
        <f t="shared" si="2"/>
        <v>74</v>
      </c>
      <c r="B76" t="s">
        <v>471</v>
      </c>
      <c r="C76" t="s">
        <v>471</v>
      </c>
      <c r="D76" s="10"/>
      <c r="E76" s="10"/>
      <c r="F76" s="10"/>
      <c r="G76" s="10"/>
      <c r="H76" t="s">
        <v>269</v>
      </c>
      <c r="N76" s="9">
        <v>74</v>
      </c>
      <c r="S76" s="22" t="s">
        <v>472</v>
      </c>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5" t="s">
        <v>452</v>
      </c>
      <c r="AT76" s="22"/>
      <c r="AU76" s="22"/>
      <c r="AV76" s="22"/>
      <c r="CH76" s="9">
        <v>74</v>
      </c>
      <c r="CM76" s="22" t="s">
        <v>472</v>
      </c>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5" t="s">
        <v>452</v>
      </c>
      <c r="DN76" s="22"/>
      <c r="DO76" s="22"/>
      <c r="DP76" s="22"/>
      <c r="FB76" s="9">
        <v>74</v>
      </c>
      <c r="FG76" s="22" t="s">
        <v>472</v>
      </c>
      <c r="FH76" s="22"/>
      <c r="FI76" s="22"/>
      <c r="FJ76" s="22"/>
      <c r="FK76" s="22"/>
      <c r="FL76" s="22"/>
      <c r="FM76" s="22"/>
      <c r="FN76" s="22"/>
      <c r="FO76" s="22"/>
      <c r="FP76" s="22"/>
      <c r="FQ76" s="22"/>
      <c r="FR76" s="22"/>
      <c r="FS76" s="22"/>
      <c r="FT76" s="22"/>
      <c r="FU76" s="22"/>
      <c r="FV76" s="22"/>
      <c r="FW76" s="22"/>
      <c r="FX76" s="22"/>
      <c r="FY76" s="22"/>
      <c r="FZ76" s="22"/>
      <c r="GA76" s="22"/>
      <c r="GB76" s="22"/>
      <c r="GC76" s="22"/>
      <c r="GD76" s="22"/>
      <c r="GE76" s="22"/>
      <c r="GF76" s="22"/>
      <c r="GG76" s="25" t="s">
        <v>452</v>
      </c>
      <c r="GH76" s="22"/>
      <c r="GI76" s="22"/>
      <c r="GJ76" s="22"/>
      <c r="HV76" s="9">
        <v>74</v>
      </c>
    </row>
    <row r="77" spans="1:230" ht="15" x14ac:dyDescent="0.25">
      <c r="A77" s="10">
        <f t="shared" si="2"/>
        <v>75</v>
      </c>
      <c r="B77" t="s">
        <v>473</v>
      </c>
      <c r="C77" t="s">
        <v>473</v>
      </c>
      <c r="D77" s="10"/>
      <c r="E77" s="10"/>
      <c r="F77" s="10"/>
      <c r="G77" s="10"/>
      <c r="H77" t="s">
        <v>269</v>
      </c>
      <c r="N77" s="9">
        <v>75</v>
      </c>
      <c r="S77" s="22" t="s">
        <v>474</v>
      </c>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CH77" s="9">
        <v>75</v>
      </c>
      <c r="CM77" s="22" t="s">
        <v>474</v>
      </c>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FB77" s="9">
        <v>75</v>
      </c>
      <c r="FG77" s="22" t="s">
        <v>474</v>
      </c>
      <c r="FH77" s="22"/>
      <c r="FI77" s="22"/>
      <c r="FJ77" s="22"/>
      <c r="FK77" s="22"/>
      <c r="FL77" s="22"/>
      <c r="FM77" s="22"/>
      <c r="FN77" s="22"/>
      <c r="FO77" s="22"/>
      <c r="FP77" s="22"/>
      <c r="FQ77" s="22"/>
      <c r="FR77" s="22"/>
      <c r="FS77" s="22"/>
      <c r="FT77" s="22"/>
      <c r="FU77" s="22"/>
      <c r="FV77" s="22"/>
      <c r="FW77" s="22"/>
      <c r="FX77" s="22"/>
      <c r="FY77" s="22"/>
      <c r="FZ77" s="22"/>
      <c r="GA77" s="22"/>
      <c r="GB77" s="22"/>
      <c r="GC77" s="22"/>
      <c r="GD77" s="22"/>
      <c r="GE77" s="22"/>
      <c r="GF77" s="22"/>
      <c r="GG77" s="22"/>
      <c r="GH77" s="22"/>
      <c r="GI77" s="22"/>
      <c r="GJ77" s="22"/>
      <c r="HV77" s="9">
        <v>75</v>
      </c>
    </row>
    <row r="78" spans="1:230" ht="15" x14ac:dyDescent="0.25">
      <c r="A78" s="10">
        <f t="shared" si="2"/>
        <v>76</v>
      </c>
      <c r="B78" t="s">
        <v>475</v>
      </c>
      <c r="C78" t="s">
        <v>475</v>
      </c>
      <c r="D78" s="10"/>
      <c r="E78" s="10"/>
      <c r="F78" s="10"/>
      <c r="G78" s="10"/>
      <c r="H78" t="s">
        <v>269</v>
      </c>
      <c r="N78" s="9">
        <v>76</v>
      </c>
      <c r="S78" s="22"/>
      <c r="T78" s="22"/>
      <c r="U78" s="22"/>
      <c r="V78" s="25" t="s">
        <v>476</v>
      </c>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Y78" s="13" t="s">
        <v>477</v>
      </c>
      <c r="CH78" s="9">
        <v>76</v>
      </c>
      <c r="CM78" s="22"/>
      <c r="CN78" s="22"/>
      <c r="CO78" s="22"/>
      <c r="CP78" s="25" t="s">
        <v>476</v>
      </c>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S78" s="13" t="s">
        <v>477</v>
      </c>
      <c r="FB78" s="9">
        <v>76</v>
      </c>
      <c r="FG78" s="22"/>
      <c r="FH78" s="22"/>
      <c r="FI78" s="22"/>
      <c r="FJ78" s="25" t="s">
        <v>476</v>
      </c>
      <c r="FK78" s="22"/>
      <c r="FL78" s="22"/>
      <c r="FM78" s="22"/>
      <c r="FN78" s="22"/>
      <c r="FO78" s="22"/>
      <c r="FP78" s="22"/>
      <c r="FQ78" s="22"/>
      <c r="FR78" s="22"/>
      <c r="FS78" s="22"/>
      <c r="FT78" s="22"/>
      <c r="FU78" s="22"/>
      <c r="FV78" s="22"/>
      <c r="FW78" s="22"/>
      <c r="FX78" s="22"/>
      <c r="FY78" s="22"/>
      <c r="FZ78" s="22"/>
      <c r="GA78" s="22"/>
      <c r="GB78" s="22"/>
      <c r="GC78" s="22"/>
      <c r="GD78" s="22"/>
      <c r="GE78" s="22"/>
      <c r="GF78" s="22"/>
      <c r="GG78" s="22"/>
      <c r="GH78" s="22"/>
      <c r="GI78" s="22"/>
      <c r="GJ78" s="22"/>
      <c r="GM78" s="13" t="s">
        <v>477</v>
      </c>
      <c r="HV78" s="9">
        <v>76</v>
      </c>
    </row>
    <row r="79" spans="1:230" ht="15" x14ac:dyDescent="0.25">
      <c r="A79" s="10">
        <f t="shared" si="2"/>
        <v>77</v>
      </c>
      <c r="B79" t="s">
        <v>478</v>
      </c>
      <c r="C79" t="s">
        <v>478</v>
      </c>
      <c r="D79" s="10"/>
      <c r="E79" s="10"/>
      <c r="F79" s="10"/>
      <c r="G79" s="10"/>
      <c r="H79" t="s">
        <v>269</v>
      </c>
      <c r="N79" s="9">
        <v>77</v>
      </c>
      <c r="S79" s="22" t="s">
        <v>479</v>
      </c>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Y79" s="13" t="s">
        <v>480</v>
      </c>
      <c r="CH79" s="9">
        <v>77</v>
      </c>
      <c r="CM79" s="22" t="s">
        <v>479</v>
      </c>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S79" s="13" t="s">
        <v>480</v>
      </c>
      <c r="FB79" s="9">
        <v>77</v>
      </c>
      <c r="FG79" s="22" t="s">
        <v>479</v>
      </c>
      <c r="FH79" s="22"/>
      <c r="FI79" s="22"/>
      <c r="FJ79" s="22"/>
      <c r="FK79" s="22"/>
      <c r="FL79" s="22"/>
      <c r="FM79" s="22"/>
      <c r="FN79" s="22"/>
      <c r="FO79" s="22"/>
      <c r="FP79" s="22"/>
      <c r="FQ79" s="22"/>
      <c r="FR79" s="22"/>
      <c r="FS79" s="22"/>
      <c r="FT79" s="22"/>
      <c r="FU79" s="22"/>
      <c r="FV79" s="22"/>
      <c r="FW79" s="22"/>
      <c r="FX79" s="22"/>
      <c r="FY79" s="22"/>
      <c r="FZ79" s="22"/>
      <c r="GA79" s="22"/>
      <c r="GB79" s="22"/>
      <c r="GC79" s="22"/>
      <c r="GD79" s="22"/>
      <c r="GE79" s="22"/>
      <c r="GF79" s="22"/>
      <c r="GG79" s="22"/>
      <c r="GH79" s="22"/>
      <c r="GI79" s="22"/>
      <c r="GJ79" s="22"/>
      <c r="GM79" s="13" t="s">
        <v>480</v>
      </c>
      <c r="HV79" s="9">
        <v>77</v>
      </c>
    </row>
    <row r="80" spans="1:230" ht="15" x14ac:dyDescent="0.25">
      <c r="A80" s="10">
        <f t="shared" si="2"/>
        <v>78</v>
      </c>
      <c r="B80" t="s">
        <v>481</v>
      </c>
      <c r="C80" t="s">
        <v>481</v>
      </c>
      <c r="D80" s="10"/>
      <c r="E80" s="10"/>
      <c r="F80" s="10"/>
      <c r="G80" s="10"/>
      <c r="H80" t="s">
        <v>269</v>
      </c>
      <c r="N80" s="9">
        <v>78</v>
      </c>
      <c r="S80" s="22" t="s">
        <v>482</v>
      </c>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Y80" s="13" t="s">
        <v>483</v>
      </c>
      <c r="CH80" s="9">
        <v>78</v>
      </c>
      <c r="CM80" s="22" t="s">
        <v>482</v>
      </c>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S80" s="13" t="s">
        <v>483</v>
      </c>
      <c r="FB80" s="9">
        <v>78</v>
      </c>
      <c r="FG80" s="22" t="s">
        <v>482</v>
      </c>
      <c r="FH80" s="22"/>
      <c r="FI80" s="22"/>
      <c r="FJ80" s="22"/>
      <c r="FK80" s="22"/>
      <c r="FL80" s="22"/>
      <c r="FM80" s="22"/>
      <c r="FN80" s="22"/>
      <c r="FO80" s="22"/>
      <c r="FP80" s="22"/>
      <c r="FQ80" s="22"/>
      <c r="FR80" s="22"/>
      <c r="FS80" s="22"/>
      <c r="FT80" s="22"/>
      <c r="FU80" s="22"/>
      <c r="FV80" s="22"/>
      <c r="FW80" s="22"/>
      <c r="FX80" s="22"/>
      <c r="FY80" s="22"/>
      <c r="FZ80" s="22"/>
      <c r="GA80" s="22"/>
      <c r="GB80" s="22"/>
      <c r="GC80" s="22"/>
      <c r="GD80" s="22"/>
      <c r="GE80" s="22"/>
      <c r="GF80" s="22"/>
      <c r="GG80" s="22"/>
      <c r="GH80" s="22"/>
      <c r="GI80" s="22"/>
      <c r="GJ80" s="22"/>
      <c r="GM80" s="13" t="s">
        <v>483</v>
      </c>
      <c r="HV80" s="9">
        <v>78</v>
      </c>
    </row>
    <row r="81" spans="1:230" ht="15" x14ac:dyDescent="0.25">
      <c r="A81" s="10">
        <f t="shared" si="2"/>
        <v>79</v>
      </c>
      <c r="B81" t="s">
        <v>484</v>
      </c>
      <c r="C81" t="s">
        <v>484</v>
      </c>
      <c r="D81" s="10"/>
      <c r="E81" s="10"/>
      <c r="F81" s="10"/>
      <c r="G81" s="10"/>
      <c r="H81" t="s">
        <v>269</v>
      </c>
      <c r="N81" s="9">
        <v>79</v>
      </c>
      <c r="S81" s="22" t="s">
        <v>485</v>
      </c>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Y81" s="13" t="s">
        <v>486</v>
      </c>
      <c r="CH81" s="9">
        <v>79</v>
      </c>
      <c r="CM81" s="22" t="s">
        <v>485</v>
      </c>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S81" s="13" t="s">
        <v>486</v>
      </c>
      <c r="FB81" s="9">
        <v>79</v>
      </c>
      <c r="FG81" s="22" t="s">
        <v>485</v>
      </c>
      <c r="FH81" s="22"/>
      <c r="FI81" s="22"/>
      <c r="FJ81" s="22"/>
      <c r="FK81" s="22"/>
      <c r="FL81" s="22"/>
      <c r="FM81" s="22"/>
      <c r="FN81" s="22"/>
      <c r="FO81" s="22"/>
      <c r="FP81" s="22"/>
      <c r="FQ81" s="22"/>
      <c r="FR81" s="22"/>
      <c r="FS81" s="22"/>
      <c r="FT81" s="22"/>
      <c r="FU81" s="22"/>
      <c r="FV81" s="22"/>
      <c r="FW81" s="22"/>
      <c r="FX81" s="22"/>
      <c r="FY81" s="22"/>
      <c r="FZ81" s="22"/>
      <c r="GA81" s="22"/>
      <c r="GB81" s="22"/>
      <c r="GC81" s="22"/>
      <c r="GD81" s="22"/>
      <c r="GE81" s="22"/>
      <c r="GF81" s="22"/>
      <c r="GG81" s="22"/>
      <c r="GH81" s="22"/>
      <c r="GI81" s="22"/>
      <c r="GJ81" s="22"/>
      <c r="GM81" s="13" t="s">
        <v>486</v>
      </c>
      <c r="HV81" s="9">
        <v>79</v>
      </c>
    </row>
  </sheetData>
  <phoneticPr fontId="13"/>
  <conditionalFormatting sqref="O3:CG81">
    <cfRule type="cellIs" dxfId="3" priority="1" stopIfTrue="1" operator="notEqual">
      <formula>CI3</formula>
    </cfRule>
  </conditionalFormatting>
  <conditionalFormatting sqref="CI3:FA81">
    <cfRule type="cellIs" dxfId="2" priority="2" stopIfTrue="1" operator="notEqual">
      <formula>O3</formula>
    </cfRule>
  </conditionalFormatting>
  <hyperlinks>
    <hyperlink ref="A1" location="'ii-excel-diff'!A1" display="#" xr:uid="{00000000-0004-0000-0100-000000000000}"/>
  </hyperlink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102"/>
  <sheetViews>
    <sheetView workbookViewId="0">
      <pane xSplit="13" ySplit="2" topLeftCell="N3" activePane="bottomRight" state="frozen"/>
      <selection pane="topRight"/>
      <selection pane="bottomLeft"/>
      <selection pane="bottomRight" activeCell="BI10" sqref="BI10"/>
    </sheetView>
  </sheetViews>
  <sheetFormatPr defaultRowHeight="13.5" x14ac:dyDescent="0.15"/>
  <cols>
    <col min="1" max="1" width="5" customWidth="1"/>
    <col min="2" max="3" width="13" hidden="1" customWidth="1"/>
    <col min="6" max="6" width="3" customWidth="1"/>
    <col min="7" max="7" width="15" customWidth="1"/>
    <col min="8" max="13" width="13" hidden="1" customWidth="1"/>
    <col min="14" max="14" width="5" customWidth="1"/>
    <col min="15" max="15" width="17.25" customWidth="1"/>
    <col min="16" max="16" width="11.25" customWidth="1"/>
    <col min="17" max="17" width="8.75" customWidth="1"/>
    <col min="18" max="29" width="13" customWidth="1"/>
    <col min="30" max="30" width="3.25" customWidth="1"/>
    <col min="31" max="31" width="8.75" customWidth="1"/>
    <col min="32" max="32" width="13" customWidth="1"/>
    <col min="33" max="33" width="11.75" customWidth="1"/>
    <col min="34" max="34" width="8.75" customWidth="1"/>
    <col min="35" max="37" width="13" customWidth="1"/>
    <col min="38" max="38" width="5" customWidth="1"/>
    <col min="39" max="39" width="17.25" customWidth="1"/>
    <col min="40" max="40" width="11.25" customWidth="1"/>
    <col min="41" max="41" width="8.75" customWidth="1"/>
    <col min="42" max="53" width="13" customWidth="1"/>
    <col min="54" max="54" width="3.25" customWidth="1"/>
    <col min="55" max="55" width="8.75" customWidth="1"/>
    <col min="56" max="56" width="13" customWidth="1"/>
    <col min="57" max="57" width="11.75" customWidth="1"/>
    <col min="58" max="58" width="8.75" customWidth="1"/>
    <col min="59" max="61" width="13" customWidth="1"/>
    <col min="62" max="62" width="5" customWidth="1"/>
    <col min="63" max="63" width="17.25" customWidth="1"/>
    <col min="64" max="64" width="11.25" customWidth="1"/>
    <col min="65" max="65" width="8.75" customWidth="1"/>
    <col min="66" max="77" width="13" customWidth="1"/>
    <col min="78" max="78" width="3.25" customWidth="1"/>
    <col min="79" max="79" width="8.75" customWidth="1"/>
    <col min="80" max="80" width="13" customWidth="1"/>
    <col min="81" max="81" width="11.75" customWidth="1"/>
    <col min="82" max="82" width="8.75" customWidth="1"/>
    <col min="83" max="85" width="13" customWidth="1"/>
    <col min="86" max="86" width="5" customWidth="1"/>
  </cols>
  <sheetData>
    <row r="1" spans="1:86" ht="14.25" x14ac:dyDescent="0.15">
      <c r="A1" s="7" t="s">
        <v>34</v>
      </c>
      <c r="B1" t="s">
        <v>35</v>
      </c>
      <c r="C1" t="s">
        <v>36</v>
      </c>
      <c r="D1" t="s">
        <v>1</v>
      </c>
      <c r="E1" t="s">
        <v>2</v>
      </c>
      <c r="F1" t="s">
        <v>37</v>
      </c>
      <c r="G1" t="s">
        <v>38</v>
      </c>
      <c r="N1" s="8"/>
      <c r="O1" t="s">
        <v>20</v>
      </c>
      <c r="P1" t="s">
        <v>579</v>
      </c>
      <c r="AL1" s="9"/>
      <c r="AM1" t="s">
        <v>20</v>
      </c>
      <c r="AN1" t="s">
        <v>580</v>
      </c>
      <c r="BJ1" s="9"/>
      <c r="BK1" t="s">
        <v>580</v>
      </c>
      <c r="CH1" s="9"/>
    </row>
    <row r="2" spans="1:86" x14ac:dyDescent="0.15">
      <c r="A2" s="8" t="s">
        <v>39</v>
      </c>
      <c r="B2" s="8" t="s">
        <v>40</v>
      </c>
      <c r="C2" s="8" t="s">
        <v>41</v>
      </c>
      <c r="D2" s="8" t="s">
        <v>42</v>
      </c>
      <c r="E2" s="8" t="s">
        <v>43</v>
      </c>
      <c r="F2" s="8" t="s">
        <v>44</v>
      </c>
      <c r="G2" s="8" t="s">
        <v>45</v>
      </c>
      <c r="H2" s="8" t="s">
        <v>46</v>
      </c>
      <c r="I2" s="8" t="s">
        <v>47</v>
      </c>
      <c r="J2" s="8" t="s">
        <v>48</v>
      </c>
      <c r="K2" s="8" t="s">
        <v>49</v>
      </c>
      <c r="L2" s="8" t="s">
        <v>50</v>
      </c>
      <c r="M2" s="8" t="s">
        <v>51</v>
      </c>
      <c r="N2" s="8" t="s">
        <v>52</v>
      </c>
      <c r="O2" s="8" t="s">
        <v>53</v>
      </c>
      <c r="P2" s="8" t="s">
        <v>54</v>
      </c>
      <c r="Q2" s="8" t="s">
        <v>55</v>
      </c>
      <c r="R2" s="8" t="s">
        <v>56</v>
      </c>
      <c r="S2" s="8" t="s">
        <v>57</v>
      </c>
      <c r="T2" s="8" t="s">
        <v>58</v>
      </c>
      <c r="U2" s="8" t="s">
        <v>59</v>
      </c>
      <c r="V2" s="8" t="s">
        <v>60</v>
      </c>
      <c r="W2" s="8" t="s">
        <v>61</v>
      </c>
      <c r="X2" s="8" t="s">
        <v>62</v>
      </c>
      <c r="Y2" s="8" t="s">
        <v>63</v>
      </c>
      <c r="Z2" s="8" t="s">
        <v>64</v>
      </c>
      <c r="AA2" s="8" t="s">
        <v>65</v>
      </c>
      <c r="AB2" s="8" t="s">
        <v>66</v>
      </c>
      <c r="AC2" s="8" t="s">
        <v>67</v>
      </c>
      <c r="AD2" s="8" t="s">
        <v>68</v>
      </c>
      <c r="AE2" s="8" t="s">
        <v>69</v>
      </c>
      <c r="AF2" s="8" t="s">
        <v>70</v>
      </c>
      <c r="AG2" s="8" t="s">
        <v>71</v>
      </c>
      <c r="AH2" s="8" t="s">
        <v>72</v>
      </c>
      <c r="AI2" s="8" t="s">
        <v>73</v>
      </c>
      <c r="AJ2" s="8" t="s">
        <v>74</v>
      </c>
      <c r="AK2" s="8" t="s">
        <v>75</v>
      </c>
      <c r="AL2" s="8" t="s">
        <v>76</v>
      </c>
      <c r="AM2" s="8" t="s">
        <v>77</v>
      </c>
      <c r="AN2" s="8" t="s">
        <v>78</v>
      </c>
      <c r="AO2" s="8" t="s">
        <v>79</v>
      </c>
      <c r="AP2" s="8" t="s">
        <v>80</v>
      </c>
      <c r="AQ2" s="8" t="s">
        <v>81</v>
      </c>
      <c r="AR2" s="8" t="s">
        <v>82</v>
      </c>
      <c r="AS2" s="8" t="s">
        <v>83</v>
      </c>
      <c r="AT2" s="8" t="s">
        <v>84</v>
      </c>
      <c r="AU2" s="8" t="s">
        <v>85</v>
      </c>
      <c r="AV2" s="8" t="s">
        <v>86</v>
      </c>
      <c r="AW2" s="8" t="s">
        <v>87</v>
      </c>
      <c r="AX2" s="8" t="s">
        <v>88</v>
      </c>
      <c r="AY2" s="8" t="s">
        <v>89</v>
      </c>
      <c r="AZ2" s="8" t="s">
        <v>90</v>
      </c>
      <c r="BA2" s="8" t="s">
        <v>91</v>
      </c>
      <c r="BB2" s="8" t="s">
        <v>92</v>
      </c>
      <c r="BC2" s="8" t="s">
        <v>93</v>
      </c>
      <c r="BD2" s="8" t="s">
        <v>94</v>
      </c>
      <c r="BE2" s="8" t="s">
        <v>95</v>
      </c>
      <c r="BF2" s="8" t="s">
        <v>96</v>
      </c>
      <c r="BG2" s="8" t="s">
        <v>97</v>
      </c>
      <c r="BH2" s="8" t="s">
        <v>98</v>
      </c>
      <c r="BI2" s="8" t="s">
        <v>99</v>
      </c>
      <c r="BJ2" s="8" t="s">
        <v>100</v>
      </c>
      <c r="BK2" s="8" t="s">
        <v>101</v>
      </c>
      <c r="BL2" s="8" t="s">
        <v>102</v>
      </c>
      <c r="BM2" s="8" t="s">
        <v>103</v>
      </c>
      <c r="BN2" s="8" t="s">
        <v>104</v>
      </c>
      <c r="BO2" s="8" t="s">
        <v>105</v>
      </c>
      <c r="BP2" s="8" t="s">
        <v>106</v>
      </c>
      <c r="BQ2" s="8" t="s">
        <v>107</v>
      </c>
      <c r="BR2" s="8" t="s">
        <v>108</v>
      </c>
      <c r="BS2" s="8" t="s">
        <v>109</v>
      </c>
      <c r="BT2" s="8" t="s">
        <v>110</v>
      </c>
      <c r="BU2" s="8" t="s">
        <v>111</v>
      </c>
      <c r="BV2" s="8" t="s">
        <v>112</v>
      </c>
      <c r="BW2" s="8" t="s">
        <v>113</v>
      </c>
      <c r="BX2" s="8" t="s">
        <v>114</v>
      </c>
      <c r="BY2" s="8" t="s">
        <v>115</v>
      </c>
      <c r="BZ2" s="8" t="s">
        <v>116</v>
      </c>
      <c r="CA2" s="8" t="s">
        <v>117</v>
      </c>
      <c r="CB2" s="8" t="s">
        <v>118</v>
      </c>
      <c r="CC2" s="8" t="s">
        <v>119</v>
      </c>
      <c r="CD2" s="8" t="s">
        <v>120</v>
      </c>
      <c r="CE2" s="8" t="s">
        <v>121</v>
      </c>
      <c r="CF2" s="8" t="s">
        <v>122</v>
      </c>
      <c r="CG2" s="8" t="s">
        <v>123</v>
      </c>
      <c r="CH2" s="9"/>
    </row>
    <row r="3" spans="1:86" ht="81" x14ac:dyDescent="0.15">
      <c r="A3" s="10">
        <f t="shared" ref="A3:A34" si="0">ROW() - 2</f>
        <v>1</v>
      </c>
      <c r="B3" t="s">
        <v>487</v>
      </c>
      <c r="C3" t="s">
        <v>487</v>
      </c>
      <c r="D3" s="10"/>
      <c r="E3" s="10"/>
      <c r="F3" s="10"/>
      <c r="G3" s="10"/>
      <c r="H3" t="s">
        <v>269</v>
      </c>
      <c r="N3" s="9">
        <v>1</v>
      </c>
      <c r="O3" s="29" t="s">
        <v>488</v>
      </c>
      <c r="AE3" s="30" t="s">
        <v>489</v>
      </c>
      <c r="AL3" s="9">
        <v>1</v>
      </c>
      <c r="AM3" s="29" t="s">
        <v>488</v>
      </c>
      <c r="BC3" s="30" t="s">
        <v>489</v>
      </c>
      <c r="BJ3" s="9">
        <v>1</v>
      </c>
      <c r="BK3" s="29" t="s">
        <v>488</v>
      </c>
      <c r="CA3" s="30" t="s">
        <v>489</v>
      </c>
      <c r="CH3" s="9">
        <v>1</v>
      </c>
    </row>
    <row r="4" spans="1:86" ht="25.5" x14ac:dyDescent="0.25">
      <c r="A4" s="10">
        <f t="shared" si="0"/>
        <v>2</v>
      </c>
      <c r="B4" t="s">
        <v>271</v>
      </c>
      <c r="C4" t="s">
        <v>271</v>
      </c>
      <c r="D4" s="10"/>
      <c r="E4" s="10"/>
      <c r="F4" s="10"/>
      <c r="G4" s="10"/>
      <c r="H4" t="s">
        <v>269</v>
      </c>
      <c r="N4" s="9">
        <v>2</v>
      </c>
      <c r="O4" s="31"/>
      <c r="AL4" s="9">
        <v>2</v>
      </c>
      <c r="AM4" s="31"/>
      <c r="BJ4" s="9">
        <v>2</v>
      </c>
      <c r="BK4" s="31"/>
      <c r="CH4" s="9">
        <v>2</v>
      </c>
    </row>
    <row r="5" spans="1:86" x14ac:dyDescent="0.15">
      <c r="A5" s="10">
        <f t="shared" si="0"/>
        <v>3</v>
      </c>
      <c r="B5" t="s">
        <v>490</v>
      </c>
      <c r="C5" t="s">
        <v>490</v>
      </c>
      <c r="D5" s="10"/>
      <c r="E5" s="10"/>
      <c r="F5" s="10"/>
      <c r="G5" s="10"/>
      <c r="H5" t="s">
        <v>269</v>
      </c>
      <c r="N5" s="9">
        <v>3</v>
      </c>
      <c r="O5" s="32" t="s">
        <v>491</v>
      </c>
      <c r="P5" s="33" t="s">
        <v>492</v>
      </c>
      <c r="Q5" s="34" t="s">
        <v>493</v>
      </c>
      <c r="R5" s="34" t="s">
        <v>494</v>
      </c>
      <c r="S5" s="34" t="s">
        <v>495</v>
      </c>
      <c r="T5" s="34" t="s">
        <v>496</v>
      </c>
      <c r="U5" s="34" t="s">
        <v>497</v>
      </c>
      <c r="V5" s="34" t="s">
        <v>498</v>
      </c>
      <c r="W5" s="34"/>
      <c r="X5" s="34"/>
      <c r="Y5" s="34"/>
      <c r="Z5" s="34"/>
      <c r="AA5" s="34"/>
      <c r="AB5" s="34"/>
      <c r="AC5" s="34"/>
      <c r="AI5" s="34" t="s">
        <v>499</v>
      </c>
      <c r="AL5" s="9">
        <v>3</v>
      </c>
      <c r="AM5" s="32" t="s">
        <v>491</v>
      </c>
      <c r="AN5" s="33" t="s">
        <v>492</v>
      </c>
      <c r="AO5" s="34" t="s">
        <v>493</v>
      </c>
      <c r="AP5" s="34" t="s">
        <v>494</v>
      </c>
      <c r="AQ5" s="34" t="s">
        <v>495</v>
      </c>
      <c r="AR5" s="34" t="s">
        <v>496</v>
      </c>
      <c r="AS5" s="34" t="s">
        <v>497</v>
      </c>
      <c r="AT5" s="34" t="s">
        <v>498</v>
      </c>
      <c r="AU5" s="34"/>
      <c r="AV5" s="34"/>
      <c r="AW5" s="34"/>
      <c r="AX5" s="34"/>
      <c r="AY5" s="34"/>
      <c r="AZ5" s="34"/>
      <c r="BA5" s="34"/>
      <c r="BG5" s="34" t="s">
        <v>499</v>
      </c>
      <c r="BJ5" s="9">
        <v>3</v>
      </c>
      <c r="BK5" s="32" t="s">
        <v>491</v>
      </c>
      <c r="BL5" s="33" t="s">
        <v>492</v>
      </c>
      <c r="BM5" s="34" t="s">
        <v>493</v>
      </c>
      <c r="BN5" s="34" t="s">
        <v>494</v>
      </c>
      <c r="BO5" s="34" t="s">
        <v>495</v>
      </c>
      <c r="BP5" s="34" t="s">
        <v>496</v>
      </c>
      <c r="BQ5" s="34" t="s">
        <v>497</v>
      </c>
      <c r="BR5" s="34" t="s">
        <v>498</v>
      </c>
      <c r="BS5" s="34"/>
      <c r="BT5" s="34"/>
      <c r="BU5" s="34"/>
      <c r="BV5" s="34"/>
      <c r="BW5" s="34"/>
      <c r="BX5" s="34"/>
      <c r="BY5" s="34"/>
      <c r="CE5" s="34" t="s">
        <v>499</v>
      </c>
      <c r="CH5" s="9">
        <v>3</v>
      </c>
    </row>
    <row r="6" spans="1:86" x14ac:dyDescent="0.15">
      <c r="A6" s="10">
        <f t="shared" si="0"/>
        <v>4</v>
      </c>
      <c r="B6" t="s">
        <v>500</v>
      </c>
      <c r="C6" t="s">
        <v>500</v>
      </c>
      <c r="D6" s="10"/>
      <c r="E6" s="10"/>
      <c r="F6" s="10"/>
      <c r="G6" s="10"/>
      <c r="H6" t="s">
        <v>269</v>
      </c>
      <c r="N6" s="9">
        <v>4</v>
      </c>
      <c r="O6" s="35"/>
      <c r="P6" s="33" t="s">
        <v>501</v>
      </c>
      <c r="Q6" s="34" t="s">
        <v>502</v>
      </c>
      <c r="R6" s="36" t="s">
        <v>503</v>
      </c>
      <c r="S6" s="34" t="s">
        <v>504</v>
      </c>
      <c r="T6" s="34" t="s">
        <v>505</v>
      </c>
      <c r="U6" s="34" t="s">
        <v>506</v>
      </c>
      <c r="V6" s="34" t="s">
        <v>507</v>
      </c>
      <c r="W6" s="34"/>
      <c r="X6" s="34"/>
      <c r="Y6" s="34"/>
      <c r="Z6" s="34"/>
      <c r="AA6" s="34"/>
      <c r="AB6" s="34"/>
      <c r="AC6" s="34"/>
      <c r="AL6" s="9">
        <v>4</v>
      </c>
      <c r="AM6" s="35"/>
      <c r="AN6" s="33" t="s">
        <v>501</v>
      </c>
      <c r="AO6" s="34" t="s">
        <v>502</v>
      </c>
      <c r="AP6" s="36" t="s">
        <v>503</v>
      </c>
      <c r="AQ6" s="34" t="s">
        <v>504</v>
      </c>
      <c r="AR6" s="34" t="s">
        <v>505</v>
      </c>
      <c r="AS6" s="34" t="s">
        <v>506</v>
      </c>
      <c r="AT6" s="34" t="s">
        <v>507</v>
      </c>
      <c r="AU6" s="34"/>
      <c r="AV6" s="34"/>
      <c r="AW6" s="34"/>
      <c r="AX6" s="34"/>
      <c r="AY6" s="34"/>
      <c r="AZ6" s="34"/>
      <c r="BA6" s="34"/>
      <c r="BJ6" s="9">
        <v>4</v>
      </c>
      <c r="BK6" s="35"/>
      <c r="BL6" s="33" t="s">
        <v>501</v>
      </c>
      <c r="BM6" s="34" t="s">
        <v>502</v>
      </c>
      <c r="BN6" s="36" t="s">
        <v>503</v>
      </c>
      <c r="BO6" s="34" t="s">
        <v>504</v>
      </c>
      <c r="BP6" s="34" t="s">
        <v>505</v>
      </c>
      <c r="BQ6" s="34" t="s">
        <v>506</v>
      </c>
      <c r="BR6" s="34" t="s">
        <v>507</v>
      </c>
      <c r="BS6" s="34"/>
      <c r="BT6" s="34"/>
      <c r="BU6" s="34"/>
      <c r="BV6" s="34"/>
      <c r="BW6" s="34"/>
      <c r="BX6" s="34"/>
      <c r="BY6" s="34"/>
      <c r="CH6" s="9">
        <v>4</v>
      </c>
    </row>
    <row r="7" spans="1:86" x14ac:dyDescent="0.15">
      <c r="A7" s="10">
        <f t="shared" si="0"/>
        <v>5</v>
      </c>
      <c r="B7" t="s">
        <v>271</v>
      </c>
      <c r="C7" t="s">
        <v>271</v>
      </c>
      <c r="D7" s="10"/>
      <c r="E7" s="10"/>
      <c r="F7" s="10"/>
      <c r="G7" s="10"/>
      <c r="H7" t="s">
        <v>269</v>
      </c>
      <c r="N7" s="9">
        <v>5</v>
      </c>
      <c r="AL7" s="9">
        <v>5</v>
      </c>
      <c r="BJ7" s="9">
        <v>5</v>
      </c>
      <c r="CH7" s="9">
        <v>5</v>
      </c>
    </row>
    <row r="8" spans="1:86" x14ac:dyDescent="0.15">
      <c r="A8" s="10">
        <f t="shared" si="0"/>
        <v>6</v>
      </c>
      <c r="B8" t="s">
        <v>508</v>
      </c>
      <c r="C8" t="s">
        <v>508</v>
      </c>
      <c r="D8" s="10"/>
      <c r="E8" s="10"/>
      <c r="F8" s="10"/>
      <c r="G8" s="10"/>
      <c r="H8" t="s">
        <v>269</v>
      </c>
      <c r="N8" s="9">
        <v>6</v>
      </c>
      <c r="O8" s="37" t="s">
        <v>509</v>
      </c>
      <c r="P8" s="38" t="s">
        <v>510</v>
      </c>
      <c r="Q8" s="39" t="s">
        <v>511</v>
      </c>
      <c r="R8" s="40"/>
      <c r="S8" s="40"/>
      <c r="T8" s="40"/>
      <c r="U8" s="40"/>
      <c r="V8" s="40"/>
      <c r="W8" s="40"/>
      <c r="X8" s="40"/>
      <c r="Y8" s="40"/>
      <c r="Z8" s="40"/>
      <c r="AA8" s="40"/>
      <c r="AB8" s="40"/>
      <c r="AC8" s="41"/>
      <c r="AE8" s="42" t="s">
        <v>512</v>
      </c>
      <c r="AL8" s="9">
        <v>6</v>
      </c>
      <c r="AM8" s="37" t="s">
        <v>509</v>
      </c>
      <c r="AN8" s="38" t="s">
        <v>510</v>
      </c>
      <c r="AO8" s="39" t="s">
        <v>511</v>
      </c>
      <c r="AP8" s="40"/>
      <c r="AQ8" s="40"/>
      <c r="AR8" s="40"/>
      <c r="AS8" s="40"/>
      <c r="AT8" s="40"/>
      <c r="AU8" s="40"/>
      <c r="AV8" s="40"/>
      <c r="AW8" s="40"/>
      <c r="AX8" s="40"/>
      <c r="AY8" s="40"/>
      <c r="AZ8" s="40"/>
      <c r="BA8" s="41"/>
      <c r="BC8" s="42" t="s">
        <v>512</v>
      </c>
      <c r="BJ8" s="9">
        <v>6</v>
      </c>
      <c r="BK8" s="37" t="s">
        <v>509</v>
      </c>
      <c r="BL8" s="38" t="s">
        <v>510</v>
      </c>
      <c r="BM8" s="39" t="s">
        <v>511</v>
      </c>
      <c r="BN8" s="40"/>
      <c r="BO8" s="40"/>
      <c r="BP8" s="40"/>
      <c r="BQ8" s="40"/>
      <c r="BR8" s="40"/>
      <c r="BS8" s="40"/>
      <c r="BT8" s="40"/>
      <c r="BU8" s="40"/>
      <c r="BV8" s="40"/>
      <c r="BW8" s="40"/>
      <c r="BX8" s="40"/>
      <c r="BY8" s="41"/>
      <c r="CA8" s="42" t="s">
        <v>512</v>
      </c>
      <c r="CH8" s="9">
        <v>6</v>
      </c>
    </row>
    <row r="9" spans="1:86" x14ac:dyDescent="0.15">
      <c r="A9" s="10">
        <f t="shared" si="0"/>
        <v>7</v>
      </c>
      <c r="B9" t="s">
        <v>513</v>
      </c>
      <c r="C9" t="s">
        <v>513</v>
      </c>
      <c r="D9" s="10"/>
      <c r="E9" s="10"/>
      <c r="F9" s="10"/>
      <c r="G9" s="10"/>
      <c r="H9" t="s">
        <v>269</v>
      </c>
      <c r="N9" s="9">
        <v>7</v>
      </c>
      <c r="O9" s="43"/>
      <c r="P9" s="44"/>
      <c r="Q9" s="45" t="s">
        <v>514</v>
      </c>
      <c r="AC9" s="46"/>
      <c r="AE9" s="42" t="s">
        <v>515</v>
      </c>
      <c r="AL9" s="9">
        <v>7</v>
      </c>
      <c r="AM9" s="43"/>
      <c r="AN9" s="44"/>
      <c r="AO9" s="45" t="s">
        <v>514</v>
      </c>
      <c r="BA9" s="46"/>
      <c r="BC9" s="42" t="s">
        <v>515</v>
      </c>
      <c r="BJ9" s="9">
        <v>7</v>
      </c>
      <c r="BK9" s="43"/>
      <c r="BL9" s="44"/>
      <c r="BM9" s="45" t="s">
        <v>514</v>
      </c>
      <c r="BY9" s="46"/>
      <c r="CA9" s="42" t="s">
        <v>515</v>
      </c>
      <c r="CH9" s="9">
        <v>7</v>
      </c>
    </row>
    <row r="10" spans="1:86" x14ac:dyDescent="0.15">
      <c r="A10" s="10">
        <f t="shared" si="0"/>
        <v>8</v>
      </c>
      <c r="B10" t="s">
        <v>516</v>
      </c>
      <c r="C10" t="s">
        <v>516</v>
      </c>
      <c r="D10" s="10"/>
      <c r="E10" s="10"/>
      <c r="F10" s="10"/>
      <c r="G10" s="10"/>
      <c r="H10" t="s">
        <v>269</v>
      </c>
      <c r="N10" s="9">
        <v>8</v>
      </c>
      <c r="O10" s="43"/>
      <c r="P10" s="44"/>
      <c r="Q10" s="45"/>
      <c r="AC10" s="46"/>
      <c r="AE10" s="42" t="s">
        <v>517</v>
      </c>
      <c r="AL10" s="9">
        <v>8</v>
      </c>
      <c r="AM10" s="43"/>
      <c r="AN10" s="44"/>
      <c r="AO10" s="45"/>
      <c r="BA10" s="46"/>
      <c r="BC10" s="42" t="s">
        <v>517</v>
      </c>
      <c r="BJ10" s="9">
        <v>8</v>
      </c>
      <c r="BK10" s="43"/>
      <c r="BL10" s="44"/>
      <c r="BM10" s="45"/>
      <c r="BY10" s="46"/>
      <c r="CA10" s="42" t="s">
        <v>517</v>
      </c>
      <c r="CH10" s="9">
        <v>8</v>
      </c>
    </row>
    <row r="11" spans="1:86" x14ac:dyDescent="0.15">
      <c r="A11" s="10">
        <f t="shared" si="0"/>
        <v>9</v>
      </c>
      <c r="B11" t="s">
        <v>518</v>
      </c>
      <c r="C11" t="s">
        <v>518</v>
      </c>
      <c r="D11" s="10"/>
      <c r="E11" s="10"/>
      <c r="F11" s="10"/>
      <c r="G11" s="10"/>
      <c r="H11" t="s">
        <v>269</v>
      </c>
      <c r="N11" s="9">
        <v>9</v>
      </c>
      <c r="O11" s="43"/>
      <c r="P11" s="44"/>
      <c r="Q11" s="45"/>
      <c r="AC11" s="46"/>
      <c r="AE11" s="42" t="s">
        <v>519</v>
      </c>
      <c r="AL11" s="9">
        <v>9</v>
      </c>
      <c r="AM11" s="43"/>
      <c r="AN11" s="44"/>
      <c r="AO11" s="45"/>
      <c r="BA11" s="46"/>
      <c r="BC11" s="42" t="s">
        <v>519</v>
      </c>
      <c r="BJ11" s="9">
        <v>9</v>
      </c>
      <c r="BK11" s="43"/>
      <c r="BL11" s="44"/>
      <c r="BM11" s="45"/>
      <c r="BY11" s="46"/>
      <c r="CA11" s="42" t="s">
        <v>519</v>
      </c>
      <c r="CH11" s="9">
        <v>9</v>
      </c>
    </row>
    <row r="12" spans="1:86" x14ac:dyDescent="0.15">
      <c r="A12" s="10">
        <f t="shared" si="0"/>
        <v>10</v>
      </c>
      <c r="B12" t="s">
        <v>520</v>
      </c>
      <c r="C12" t="s">
        <v>520</v>
      </c>
      <c r="D12" s="10"/>
      <c r="E12" s="10"/>
      <c r="F12" s="10"/>
      <c r="G12" s="10"/>
      <c r="H12" t="s">
        <v>269</v>
      </c>
      <c r="N12" s="9">
        <v>10</v>
      </c>
      <c r="O12" s="43"/>
      <c r="P12" s="47"/>
      <c r="Q12" s="48"/>
      <c r="R12" s="49"/>
      <c r="S12" s="49"/>
      <c r="T12" s="49"/>
      <c r="U12" s="49"/>
      <c r="V12" s="49"/>
      <c r="W12" s="49"/>
      <c r="X12" s="49"/>
      <c r="Y12" s="49"/>
      <c r="Z12" s="49"/>
      <c r="AA12" s="49"/>
      <c r="AB12" s="49"/>
      <c r="AC12" s="50"/>
      <c r="AE12" s="42" t="s">
        <v>521</v>
      </c>
      <c r="AL12" s="9">
        <v>10</v>
      </c>
      <c r="AM12" s="43"/>
      <c r="AN12" s="47"/>
      <c r="AO12" s="48"/>
      <c r="AP12" s="49"/>
      <c r="AQ12" s="49"/>
      <c r="AR12" s="49"/>
      <c r="AS12" s="49"/>
      <c r="AT12" s="49"/>
      <c r="AU12" s="49"/>
      <c r="AV12" s="49"/>
      <c r="AW12" s="49"/>
      <c r="AX12" s="49"/>
      <c r="AY12" s="49"/>
      <c r="AZ12" s="49"/>
      <c r="BA12" s="50"/>
      <c r="BC12" s="42" t="s">
        <v>521</v>
      </c>
      <c r="BJ12" s="9">
        <v>10</v>
      </c>
      <c r="BK12" s="43"/>
      <c r="BL12" s="47"/>
      <c r="BM12" s="48"/>
      <c r="BN12" s="49"/>
      <c r="BO12" s="49"/>
      <c r="BP12" s="49"/>
      <c r="BQ12" s="49"/>
      <c r="BR12" s="49"/>
      <c r="BS12" s="49"/>
      <c r="BT12" s="49"/>
      <c r="BU12" s="49"/>
      <c r="BV12" s="49"/>
      <c r="BW12" s="49"/>
      <c r="BX12" s="49"/>
      <c r="BY12" s="50"/>
      <c r="CA12" s="42" t="s">
        <v>521</v>
      </c>
      <c r="CH12" s="9">
        <v>10</v>
      </c>
    </row>
    <row r="13" spans="1:86" x14ac:dyDescent="0.15">
      <c r="A13" s="10">
        <f t="shared" si="0"/>
        <v>11</v>
      </c>
      <c r="B13" t="s">
        <v>522</v>
      </c>
      <c r="C13" t="s">
        <v>522</v>
      </c>
      <c r="D13" s="10"/>
      <c r="E13" s="10"/>
      <c r="F13" s="10"/>
      <c r="G13" s="10"/>
      <c r="H13" t="s">
        <v>269</v>
      </c>
      <c r="N13" s="9">
        <v>11</v>
      </c>
      <c r="O13" s="43"/>
      <c r="P13" s="38" t="s">
        <v>523</v>
      </c>
      <c r="Q13" s="33" t="s">
        <v>1</v>
      </c>
      <c r="R13" s="34" t="s">
        <v>1</v>
      </c>
      <c r="S13" s="51"/>
      <c r="T13" s="51"/>
      <c r="U13" s="51"/>
      <c r="V13" s="51"/>
      <c r="W13" s="51"/>
      <c r="X13" s="51"/>
      <c r="Y13" s="51"/>
      <c r="Z13" s="51"/>
      <c r="AA13" s="51"/>
      <c r="AB13" s="51"/>
      <c r="AC13" s="52"/>
      <c r="AE13" s="42" t="s">
        <v>524</v>
      </c>
      <c r="AL13" s="9">
        <v>11</v>
      </c>
      <c r="AM13" s="43"/>
      <c r="AN13" s="38" t="s">
        <v>523</v>
      </c>
      <c r="AO13" s="33" t="s">
        <v>1</v>
      </c>
      <c r="AP13" s="34" t="s">
        <v>1</v>
      </c>
      <c r="AQ13" s="51"/>
      <c r="AR13" s="51"/>
      <c r="AS13" s="51"/>
      <c r="AT13" s="51"/>
      <c r="AU13" s="51"/>
      <c r="AV13" s="51"/>
      <c r="AW13" s="51"/>
      <c r="AX13" s="51"/>
      <c r="AY13" s="51"/>
      <c r="AZ13" s="51"/>
      <c r="BA13" s="52"/>
      <c r="BC13" s="42" t="s">
        <v>524</v>
      </c>
      <c r="BJ13" s="9">
        <v>11</v>
      </c>
      <c r="BK13" s="43"/>
      <c r="BL13" s="38" t="s">
        <v>523</v>
      </c>
      <c r="BM13" s="33" t="s">
        <v>1</v>
      </c>
      <c r="BN13" s="34" t="s">
        <v>1</v>
      </c>
      <c r="BO13" s="51"/>
      <c r="BP13" s="51"/>
      <c r="BQ13" s="51"/>
      <c r="BR13" s="51"/>
      <c r="BS13" s="51"/>
      <c r="BT13" s="51"/>
      <c r="BU13" s="51"/>
      <c r="BV13" s="51"/>
      <c r="BW13" s="51"/>
      <c r="BX13" s="51"/>
      <c r="BY13" s="52"/>
      <c r="CA13" s="42" t="s">
        <v>524</v>
      </c>
      <c r="CH13" s="9">
        <v>11</v>
      </c>
    </row>
    <row r="14" spans="1:86" x14ac:dyDescent="0.15">
      <c r="A14" s="10">
        <f t="shared" si="0"/>
        <v>12</v>
      </c>
      <c r="B14" t="s">
        <v>525</v>
      </c>
      <c r="C14" t="s">
        <v>525</v>
      </c>
      <c r="D14" s="10"/>
      <c r="E14" s="10"/>
      <c r="F14" s="10"/>
      <c r="G14" s="10"/>
      <c r="H14" t="s">
        <v>269</v>
      </c>
      <c r="N14" s="9">
        <v>12</v>
      </c>
      <c r="O14" s="43"/>
      <c r="P14" s="44"/>
      <c r="Q14" s="33" t="s">
        <v>2</v>
      </c>
      <c r="R14" s="34" t="s">
        <v>2</v>
      </c>
      <c r="S14" s="51"/>
      <c r="T14" s="51"/>
      <c r="U14" s="51"/>
      <c r="V14" s="51"/>
      <c r="W14" s="51"/>
      <c r="X14" s="51"/>
      <c r="Y14" s="51"/>
      <c r="Z14" s="51"/>
      <c r="AA14" s="51"/>
      <c r="AB14" s="51"/>
      <c r="AC14" s="52"/>
      <c r="AE14" s="42" t="s">
        <v>526</v>
      </c>
      <c r="AL14" s="9">
        <v>12</v>
      </c>
      <c r="AM14" s="43"/>
      <c r="AN14" s="44"/>
      <c r="AO14" s="33" t="s">
        <v>2</v>
      </c>
      <c r="AP14" s="34" t="s">
        <v>2</v>
      </c>
      <c r="AQ14" s="51"/>
      <c r="AR14" s="51"/>
      <c r="AS14" s="51"/>
      <c r="AT14" s="51"/>
      <c r="AU14" s="51"/>
      <c r="AV14" s="51"/>
      <c r="AW14" s="51"/>
      <c r="AX14" s="51"/>
      <c r="AY14" s="51"/>
      <c r="AZ14" s="51"/>
      <c r="BA14" s="52"/>
      <c r="BC14" s="42" t="s">
        <v>526</v>
      </c>
      <c r="BJ14" s="9">
        <v>12</v>
      </c>
      <c r="BK14" s="43"/>
      <c r="BL14" s="44"/>
      <c r="BM14" s="33" t="s">
        <v>2</v>
      </c>
      <c r="BN14" s="34" t="s">
        <v>2</v>
      </c>
      <c r="BO14" s="51"/>
      <c r="BP14" s="51"/>
      <c r="BQ14" s="51"/>
      <c r="BR14" s="51"/>
      <c r="BS14" s="51"/>
      <c r="BT14" s="51"/>
      <c r="BU14" s="51"/>
      <c r="BV14" s="51"/>
      <c r="BW14" s="51"/>
      <c r="BX14" s="51"/>
      <c r="BY14" s="52"/>
      <c r="CA14" s="42" t="s">
        <v>526</v>
      </c>
      <c r="CH14" s="9">
        <v>12</v>
      </c>
    </row>
    <row r="15" spans="1:86" x14ac:dyDescent="0.15">
      <c r="A15" s="10">
        <f t="shared" si="0"/>
        <v>13</v>
      </c>
      <c r="B15" t="s">
        <v>527</v>
      </c>
      <c r="C15" t="s">
        <v>527</v>
      </c>
      <c r="D15" s="10"/>
      <c r="E15" s="10"/>
      <c r="F15" s="10"/>
      <c r="G15" s="10"/>
      <c r="H15" t="s">
        <v>269</v>
      </c>
      <c r="N15" s="9">
        <v>13</v>
      </c>
      <c r="O15" s="43"/>
      <c r="P15" s="44"/>
      <c r="Q15" s="33" t="s">
        <v>3</v>
      </c>
      <c r="R15" s="34" t="s">
        <v>3</v>
      </c>
      <c r="S15" s="51"/>
      <c r="T15" s="51"/>
      <c r="U15" s="51"/>
      <c r="V15" s="51"/>
      <c r="W15" s="51"/>
      <c r="X15" s="51"/>
      <c r="Y15" s="51"/>
      <c r="Z15" s="51"/>
      <c r="AA15" s="51"/>
      <c r="AB15" s="51"/>
      <c r="AC15" s="52"/>
      <c r="AE15" s="42" t="s">
        <v>528</v>
      </c>
      <c r="AL15" s="9">
        <v>13</v>
      </c>
      <c r="AM15" s="43"/>
      <c r="AN15" s="44"/>
      <c r="AO15" s="33" t="s">
        <v>3</v>
      </c>
      <c r="AP15" s="34" t="s">
        <v>3</v>
      </c>
      <c r="AQ15" s="51"/>
      <c r="AR15" s="51"/>
      <c r="AS15" s="51"/>
      <c r="AT15" s="51"/>
      <c r="AU15" s="51"/>
      <c r="AV15" s="51"/>
      <c r="AW15" s="51"/>
      <c r="AX15" s="51"/>
      <c r="AY15" s="51"/>
      <c r="AZ15" s="51"/>
      <c r="BA15" s="52"/>
      <c r="BC15" s="42" t="s">
        <v>528</v>
      </c>
      <c r="BJ15" s="9">
        <v>13</v>
      </c>
      <c r="BK15" s="43"/>
      <c r="BL15" s="44"/>
      <c r="BM15" s="33" t="s">
        <v>3</v>
      </c>
      <c r="BN15" s="34" t="s">
        <v>3</v>
      </c>
      <c r="BO15" s="51"/>
      <c r="BP15" s="51"/>
      <c r="BQ15" s="51"/>
      <c r="BR15" s="51"/>
      <c r="BS15" s="51"/>
      <c r="BT15" s="51"/>
      <c r="BU15" s="51"/>
      <c r="BV15" s="51"/>
      <c r="BW15" s="51"/>
      <c r="BX15" s="51"/>
      <c r="BY15" s="52"/>
      <c r="CA15" s="42" t="s">
        <v>528</v>
      </c>
      <c r="CH15" s="9">
        <v>13</v>
      </c>
    </row>
    <row r="16" spans="1:86" x14ac:dyDescent="0.15">
      <c r="A16" s="10">
        <f t="shared" si="0"/>
        <v>14</v>
      </c>
      <c r="B16" t="s">
        <v>529</v>
      </c>
      <c r="C16" t="s">
        <v>529</v>
      </c>
      <c r="D16" s="10"/>
      <c r="E16" s="10"/>
      <c r="F16" s="10"/>
      <c r="G16" s="10"/>
      <c r="H16" t="s">
        <v>269</v>
      </c>
      <c r="N16" s="9">
        <v>14</v>
      </c>
      <c r="O16" s="43"/>
      <c r="P16" s="44"/>
      <c r="Q16" s="33" t="s">
        <v>530</v>
      </c>
      <c r="R16" s="34" t="s">
        <v>531</v>
      </c>
      <c r="S16" s="51"/>
      <c r="T16" s="51"/>
      <c r="U16" s="51"/>
      <c r="V16" s="51"/>
      <c r="W16" s="51"/>
      <c r="X16" s="51"/>
      <c r="Y16" s="51"/>
      <c r="Z16" s="51"/>
      <c r="AA16" s="51"/>
      <c r="AB16" s="51"/>
      <c r="AC16" s="52"/>
      <c r="AE16" s="42" t="s">
        <v>532</v>
      </c>
      <c r="AL16" s="9">
        <v>14</v>
      </c>
      <c r="AM16" s="43"/>
      <c r="AN16" s="44"/>
      <c r="AO16" s="33" t="s">
        <v>530</v>
      </c>
      <c r="AP16" s="34" t="s">
        <v>531</v>
      </c>
      <c r="AQ16" s="51"/>
      <c r="AR16" s="51"/>
      <c r="AS16" s="51"/>
      <c r="AT16" s="51"/>
      <c r="AU16" s="51"/>
      <c r="AV16" s="51"/>
      <c r="AW16" s="51"/>
      <c r="AX16" s="51"/>
      <c r="AY16" s="51"/>
      <c r="AZ16" s="51"/>
      <c r="BA16" s="52"/>
      <c r="BC16" s="42" t="s">
        <v>532</v>
      </c>
      <c r="BJ16" s="9">
        <v>14</v>
      </c>
      <c r="BK16" s="43"/>
      <c r="BL16" s="44"/>
      <c r="BM16" s="33" t="s">
        <v>530</v>
      </c>
      <c r="BN16" s="34" t="s">
        <v>531</v>
      </c>
      <c r="BO16" s="51"/>
      <c r="BP16" s="51"/>
      <c r="BQ16" s="51"/>
      <c r="BR16" s="51"/>
      <c r="BS16" s="51"/>
      <c r="BT16" s="51"/>
      <c r="BU16" s="51"/>
      <c r="BV16" s="51"/>
      <c r="BW16" s="51"/>
      <c r="BX16" s="51"/>
      <c r="BY16" s="52"/>
      <c r="CA16" s="42" t="s">
        <v>532</v>
      </c>
      <c r="CH16" s="9">
        <v>14</v>
      </c>
    </row>
    <row r="17" spans="1:86" x14ac:dyDescent="0.15">
      <c r="A17" s="10">
        <f t="shared" si="0"/>
        <v>15</v>
      </c>
      <c r="B17" t="s">
        <v>533</v>
      </c>
      <c r="C17" t="s">
        <v>533</v>
      </c>
      <c r="D17" s="10"/>
      <c r="E17" s="10"/>
      <c r="F17" s="10"/>
      <c r="G17" s="10"/>
      <c r="H17" t="s">
        <v>269</v>
      </c>
      <c r="N17" s="9">
        <v>15</v>
      </c>
      <c r="O17" s="43"/>
      <c r="P17" s="47"/>
      <c r="Q17" s="33" t="s">
        <v>534</v>
      </c>
      <c r="R17" s="53" t="b">
        <v>0</v>
      </c>
      <c r="S17" s="51"/>
      <c r="T17" s="51"/>
      <c r="U17" s="51"/>
      <c r="V17" s="51"/>
      <c r="W17" s="51"/>
      <c r="X17" s="51"/>
      <c r="Y17" s="51"/>
      <c r="Z17" s="51"/>
      <c r="AA17" s="51"/>
      <c r="AB17" s="51"/>
      <c r="AC17" s="52"/>
      <c r="AE17" s="42" t="s">
        <v>535</v>
      </c>
      <c r="AL17" s="9">
        <v>15</v>
      </c>
      <c r="AM17" s="43"/>
      <c r="AN17" s="47"/>
      <c r="AO17" s="33" t="s">
        <v>534</v>
      </c>
      <c r="AP17" s="53" t="b">
        <v>0</v>
      </c>
      <c r="AQ17" s="51"/>
      <c r="AR17" s="51"/>
      <c r="AS17" s="51"/>
      <c r="AT17" s="51"/>
      <c r="AU17" s="51"/>
      <c r="AV17" s="51"/>
      <c r="AW17" s="51"/>
      <c r="AX17" s="51"/>
      <c r="AY17" s="51"/>
      <c r="AZ17" s="51"/>
      <c r="BA17" s="52"/>
      <c r="BC17" s="42" t="s">
        <v>535</v>
      </c>
      <c r="BJ17" s="9">
        <v>15</v>
      </c>
      <c r="BK17" s="43"/>
      <c r="BL17" s="47"/>
      <c r="BM17" s="33" t="s">
        <v>534</v>
      </c>
      <c r="BN17" s="53" t="b">
        <v>0</v>
      </c>
      <c r="BO17" s="51"/>
      <c r="BP17" s="51"/>
      <c r="BQ17" s="51"/>
      <c r="BR17" s="51"/>
      <c r="BS17" s="51"/>
      <c r="BT17" s="51"/>
      <c r="BU17" s="51"/>
      <c r="BV17" s="51"/>
      <c r="BW17" s="51"/>
      <c r="BX17" s="51"/>
      <c r="BY17" s="52"/>
      <c r="CA17" s="42" t="s">
        <v>535</v>
      </c>
      <c r="CH17" s="9">
        <v>15</v>
      </c>
    </row>
    <row r="18" spans="1:86" x14ac:dyDescent="0.15">
      <c r="A18" s="10">
        <f t="shared" si="0"/>
        <v>16</v>
      </c>
      <c r="B18" t="s">
        <v>536</v>
      </c>
      <c r="C18" t="s">
        <v>536</v>
      </c>
      <c r="D18" s="10"/>
      <c r="E18" s="10"/>
      <c r="F18" s="10"/>
      <c r="G18" s="10"/>
      <c r="H18" t="s">
        <v>269</v>
      </c>
      <c r="N18" s="9">
        <v>16</v>
      </c>
      <c r="O18" s="43"/>
      <c r="P18" s="54" t="s">
        <v>537</v>
      </c>
      <c r="Q18" s="33" t="s">
        <v>538</v>
      </c>
      <c r="R18" s="33" t="s">
        <v>539</v>
      </c>
      <c r="S18" s="33" t="s">
        <v>540</v>
      </c>
      <c r="T18" s="33" t="s">
        <v>501</v>
      </c>
      <c r="U18" s="51"/>
      <c r="V18" s="51"/>
      <c r="W18" s="51"/>
      <c r="X18" s="51"/>
      <c r="Y18" s="51"/>
      <c r="Z18" s="51"/>
      <c r="AA18" s="51"/>
      <c r="AB18" s="51"/>
      <c r="AC18" s="52"/>
      <c r="AE18" s="42" t="s">
        <v>541</v>
      </c>
      <c r="AL18" s="9">
        <v>16</v>
      </c>
      <c r="AM18" s="43"/>
      <c r="AN18" s="54" t="s">
        <v>537</v>
      </c>
      <c r="AO18" s="33" t="s">
        <v>538</v>
      </c>
      <c r="AP18" s="33" t="s">
        <v>539</v>
      </c>
      <c r="AQ18" s="33" t="s">
        <v>540</v>
      </c>
      <c r="AR18" s="33" t="s">
        <v>501</v>
      </c>
      <c r="AS18" s="51"/>
      <c r="AT18" s="51"/>
      <c r="AU18" s="51"/>
      <c r="AV18" s="51"/>
      <c r="AW18" s="51"/>
      <c r="AX18" s="51"/>
      <c r="AY18" s="51"/>
      <c r="AZ18" s="51"/>
      <c r="BA18" s="52"/>
      <c r="BC18" s="42" t="s">
        <v>541</v>
      </c>
      <c r="BJ18" s="9">
        <v>16</v>
      </c>
      <c r="BK18" s="43"/>
      <c r="BL18" s="54" t="s">
        <v>537</v>
      </c>
      <c r="BM18" s="33" t="s">
        <v>538</v>
      </c>
      <c r="BN18" s="33" t="s">
        <v>539</v>
      </c>
      <c r="BO18" s="33" t="s">
        <v>540</v>
      </c>
      <c r="BP18" s="33" t="s">
        <v>501</v>
      </c>
      <c r="BQ18" s="51"/>
      <c r="BR18" s="51"/>
      <c r="BS18" s="51"/>
      <c r="BT18" s="51"/>
      <c r="BU18" s="51"/>
      <c r="BV18" s="51"/>
      <c r="BW18" s="51"/>
      <c r="BX18" s="51"/>
      <c r="BY18" s="52"/>
      <c r="CA18" s="42" t="s">
        <v>541</v>
      </c>
      <c r="CH18" s="9">
        <v>16</v>
      </c>
    </row>
    <row r="19" spans="1:86" x14ac:dyDescent="0.15">
      <c r="A19" s="10">
        <f t="shared" si="0"/>
        <v>17</v>
      </c>
      <c r="B19" t="s">
        <v>542</v>
      </c>
      <c r="C19" t="s">
        <v>542</v>
      </c>
      <c r="D19" s="10"/>
      <c r="E19" s="10"/>
      <c r="F19" s="10"/>
      <c r="G19" s="10"/>
      <c r="H19" t="s">
        <v>269</v>
      </c>
      <c r="N19" s="9">
        <v>17</v>
      </c>
      <c r="O19" s="43"/>
      <c r="P19" s="55"/>
      <c r="Q19" s="34" t="s">
        <v>543</v>
      </c>
      <c r="R19" s="34" t="s">
        <v>544</v>
      </c>
      <c r="S19" s="34" t="s">
        <v>545</v>
      </c>
      <c r="T19" s="34" t="s">
        <v>546</v>
      </c>
      <c r="U19" s="51"/>
      <c r="V19" s="51"/>
      <c r="W19" s="51"/>
      <c r="X19" s="51"/>
      <c r="Y19" s="51"/>
      <c r="Z19" s="51"/>
      <c r="AA19" s="51"/>
      <c r="AB19" s="51"/>
      <c r="AC19" s="52"/>
      <c r="AE19" s="42" t="s">
        <v>547</v>
      </c>
      <c r="AL19" s="9">
        <v>17</v>
      </c>
      <c r="AM19" s="43"/>
      <c r="AN19" s="55"/>
      <c r="AO19" s="34" t="s">
        <v>543</v>
      </c>
      <c r="AP19" s="34" t="s">
        <v>544</v>
      </c>
      <c r="AQ19" s="34" t="s">
        <v>545</v>
      </c>
      <c r="AR19" s="34" t="s">
        <v>546</v>
      </c>
      <c r="AS19" s="51"/>
      <c r="AT19" s="51"/>
      <c r="AU19" s="51"/>
      <c r="AV19" s="51"/>
      <c r="AW19" s="51"/>
      <c r="AX19" s="51"/>
      <c r="AY19" s="51"/>
      <c r="AZ19" s="51"/>
      <c r="BA19" s="52"/>
      <c r="BC19" s="42" t="s">
        <v>547</v>
      </c>
      <c r="BJ19" s="9">
        <v>17</v>
      </c>
      <c r="BK19" s="43"/>
      <c r="BL19" s="55"/>
      <c r="BM19" s="34" t="s">
        <v>543</v>
      </c>
      <c r="BN19" s="34" t="s">
        <v>544</v>
      </c>
      <c r="BO19" s="34" t="s">
        <v>545</v>
      </c>
      <c r="BP19" s="34" t="s">
        <v>546</v>
      </c>
      <c r="BQ19" s="51"/>
      <c r="BR19" s="51"/>
      <c r="BS19" s="51"/>
      <c r="BT19" s="51"/>
      <c r="BU19" s="51"/>
      <c r="BV19" s="51"/>
      <c r="BW19" s="51"/>
      <c r="BX19" s="51"/>
      <c r="BY19" s="52"/>
      <c r="CA19" s="42" t="s">
        <v>547</v>
      </c>
      <c r="CH19" s="9">
        <v>17</v>
      </c>
    </row>
    <row r="20" spans="1:86" x14ac:dyDescent="0.15">
      <c r="A20" s="10">
        <f t="shared" si="0"/>
        <v>18</v>
      </c>
      <c r="B20" t="s">
        <v>548</v>
      </c>
      <c r="C20" t="s">
        <v>548</v>
      </c>
      <c r="D20" s="10"/>
      <c r="E20" s="10"/>
      <c r="F20" s="10"/>
      <c r="G20" s="10"/>
      <c r="H20" t="s">
        <v>269</v>
      </c>
      <c r="N20" s="9">
        <v>18</v>
      </c>
      <c r="O20" s="43"/>
      <c r="P20" s="55"/>
      <c r="Q20" s="34" t="s">
        <v>549</v>
      </c>
      <c r="R20" s="34" t="s">
        <v>544</v>
      </c>
      <c r="S20" s="34" t="s">
        <v>550</v>
      </c>
      <c r="T20" s="34" t="s">
        <v>546</v>
      </c>
      <c r="U20" s="51"/>
      <c r="V20" s="51"/>
      <c r="W20" s="51"/>
      <c r="X20" s="51"/>
      <c r="Y20" s="51"/>
      <c r="Z20" s="51"/>
      <c r="AA20" s="51"/>
      <c r="AB20" s="51"/>
      <c r="AC20" s="52"/>
      <c r="AE20" s="42" t="s">
        <v>551</v>
      </c>
      <c r="AL20" s="9">
        <v>18</v>
      </c>
      <c r="AM20" s="43"/>
      <c r="AN20" s="55"/>
      <c r="AO20" s="34" t="s">
        <v>549</v>
      </c>
      <c r="AP20" s="34" t="s">
        <v>544</v>
      </c>
      <c r="AQ20" s="34" t="s">
        <v>550</v>
      </c>
      <c r="AR20" s="34" t="s">
        <v>546</v>
      </c>
      <c r="AS20" s="51"/>
      <c r="AT20" s="51"/>
      <c r="AU20" s="51"/>
      <c r="AV20" s="51"/>
      <c r="AW20" s="51"/>
      <c r="AX20" s="51"/>
      <c r="AY20" s="51"/>
      <c r="AZ20" s="51"/>
      <c r="BA20" s="52"/>
      <c r="BC20" s="42" t="s">
        <v>551</v>
      </c>
      <c r="BJ20" s="9">
        <v>18</v>
      </c>
      <c r="BK20" s="43"/>
      <c r="BL20" s="55"/>
      <c r="BM20" s="34" t="s">
        <v>549</v>
      </c>
      <c r="BN20" s="34" t="s">
        <v>544</v>
      </c>
      <c r="BO20" s="34" t="s">
        <v>550</v>
      </c>
      <c r="BP20" s="34" t="s">
        <v>546</v>
      </c>
      <c r="BQ20" s="51"/>
      <c r="BR20" s="51"/>
      <c r="BS20" s="51"/>
      <c r="BT20" s="51"/>
      <c r="BU20" s="51"/>
      <c r="BV20" s="51"/>
      <c r="BW20" s="51"/>
      <c r="BX20" s="51"/>
      <c r="BY20" s="52"/>
      <c r="CA20" s="42" t="s">
        <v>551</v>
      </c>
      <c r="CH20" s="9">
        <v>18</v>
      </c>
    </row>
    <row r="21" spans="1:86" x14ac:dyDescent="0.15">
      <c r="A21" s="10">
        <f t="shared" si="0"/>
        <v>19</v>
      </c>
      <c r="B21" t="s">
        <v>552</v>
      </c>
      <c r="C21" t="s">
        <v>552</v>
      </c>
      <c r="D21" s="10"/>
      <c r="E21" s="10"/>
      <c r="F21" s="10"/>
      <c r="G21" s="10"/>
      <c r="H21" t="s">
        <v>269</v>
      </c>
      <c r="N21" s="9">
        <v>19</v>
      </c>
      <c r="O21" s="43"/>
      <c r="P21" s="55"/>
      <c r="Q21" s="34" t="s">
        <v>553</v>
      </c>
      <c r="R21" s="34" t="s">
        <v>544</v>
      </c>
      <c r="S21" s="34" t="s">
        <v>554</v>
      </c>
      <c r="T21" s="34" t="s">
        <v>546</v>
      </c>
      <c r="U21" s="51"/>
      <c r="V21" s="51"/>
      <c r="W21" s="51"/>
      <c r="X21" s="51"/>
      <c r="Y21" s="51"/>
      <c r="Z21" s="51"/>
      <c r="AA21" s="51"/>
      <c r="AB21" s="51"/>
      <c r="AC21" s="52"/>
      <c r="AE21" s="42" t="s">
        <v>555</v>
      </c>
      <c r="AL21" s="9">
        <v>19</v>
      </c>
      <c r="AM21" s="43"/>
      <c r="AN21" s="55"/>
      <c r="AO21" s="34" t="s">
        <v>553</v>
      </c>
      <c r="AP21" s="34" t="s">
        <v>544</v>
      </c>
      <c r="AQ21" s="34" t="s">
        <v>554</v>
      </c>
      <c r="AR21" s="34" t="s">
        <v>546</v>
      </c>
      <c r="AS21" s="51"/>
      <c r="AT21" s="51"/>
      <c r="AU21" s="51"/>
      <c r="AV21" s="51"/>
      <c r="AW21" s="51"/>
      <c r="AX21" s="51"/>
      <c r="AY21" s="51"/>
      <c r="AZ21" s="51"/>
      <c r="BA21" s="52"/>
      <c r="BC21" s="42" t="s">
        <v>555</v>
      </c>
      <c r="BJ21" s="9">
        <v>19</v>
      </c>
      <c r="BK21" s="43"/>
      <c r="BL21" s="55"/>
      <c r="BM21" s="34" t="s">
        <v>553</v>
      </c>
      <c r="BN21" s="34" t="s">
        <v>544</v>
      </c>
      <c r="BO21" s="34" t="s">
        <v>554</v>
      </c>
      <c r="BP21" s="34" t="s">
        <v>546</v>
      </c>
      <c r="BQ21" s="51"/>
      <c r="BR21" s="51"/>
      <c r="BS21" s="51"/>
      <c r="BT21" s="51"/>
      <c r="BU21" s="51"/>
      <c r="BV21" s="51"/>
      <c r="BW21" s="51"/>
      <c r="BX21" s="51"/>
      <c r="BY21" s="52"/>
      <c r="CA21" s="42" t="s">
        <v>555</v>
      </c>
      <c r="CH21" s="9">
        <v>19</v>
      </c>
    </row>
    <row r="22" spans="1:86" x14ac:dyDescent="0.15">
      <c r="A22" s="10">
        <f t="shared" si="0"/>
        <v>20</v>
      </c>
      <c r="B22" t="s">
        <v>556</v>
      </c>
      <c r="C22" t="s">
        <v>556</v>
      </c>
      <c r="D22" s="10"/>
      <c r="E22" s="10"/>
      <c r="F22" s="10"/>
      <c r="G22" s="10"/>
      <c r="H22" t="s">
        <v>269</v>
      </c>
      <c r="N22" s="9">
        <v>20</v>
      </c>
      <c r="O22" s="43"/>
      <c r="P22" s="55"/>
      <c r="Q22" s="34" t="s">
        <v>557</v>
      </c>
      <c r="R22" s="34" t="s">
        <v>544</v>
      </c>
      <c r="S22" s="34" t="s">
        <v>558</v>
      </c>
      <c r="T22" s="34" t="s">
        <v>559</v>
      </c>
      <c r="U22" s="51"/>
      <c r="V22" s="51"/>
      <c r="W22" s="51"/>
      <c r="X22" s="51"/>
      <c r="Y22" s="51"/>
      <c r="Z22" s="51"/>
      <c r="AA22" s="51"/>
      <c r="AB22" s="51"/>
      <c r="AC22" s="52"/>
      <c r="AE22" s="42" t="s">
        <v>560</v>
      </c>
      <c r="AL22" s="9">
        <v>20</v>
      </c>
      <c r="AM22" s="43"/>
      <c r="AN22" s="55"/>
      <c r="AO22" s="34" t="s">
        <v>557</v>
      </c>
      <c r="AP22" s="34" t="s">
        <v>544</v>
      </c>
      <c r="AQ22" s="34" t="s">
        <v>558</v>
      </c>
      <c r="AR22" s="34" t="s">
        <v>559</v>
      </c>
      <c r="AS22" s="51"/>
      <c r="AT22" s="51"/>
      <c r="AU22" s="51"/>
      <c r="AV22" s="51"/>
      <c r="AW22" s="51"/>
      <c r="AX22" s="51"/>
      <c r="AY22" s="51"/>
      <c r="AZ22" s="51"/>
      <c r="BA22" s="52"/>
      <c r="BC22" s="42" t="s">
        <v>560</v>
      </c>
      <c r="BJ22" s="9">
        <v>20</v>
      </c>
      <c r="BK22" s="43"/>
      <c r="BL22" s="55"/>
      <c r="BM22" s="34" t="s">
        <v>557</v>
      </c>
      <c r="BN22" s="34" t="s">
        <v>544</v>
      </c>
      <c r="BO22" s="34" t="s">
        <v>558</v>
      </c>
      <c r="BP22" s="34" t="s">
        <v>559</v>
      </c>
      <c r="BQ22" s="51"/>
      <c r="BR22" s="51"/>
      <c r="BS22" s="51"/>
      <c r="BT22" s="51"/>
      <c r="BU22" s="51"/>
      <c r="BV22" s="51"/>
      <c r="BW22" s="51"/>
      <c r="BX22" s="51"/>
      <c r="BY22" s="52"/>
      <c r="CA22" s="42" t="s">
        <v>560</v>
      </c>
      <c r="CH22" s="9">
        <v>20</v>
      </c>
    </row>
    <row r="23" spans="1:86" x14ac:dyDescent="0.15">
      <c r="A23" s="10">
        <f t="shared" si="0"/>
        <v>21</v>
      </c>
      <c r="B23" t="s">
        <v>561</v>
      </c>
      <c r="C23" t="s">
        <v>561</v>
      </c>
      <c r="D23" s="10"/>
      <c r="E23" s="10"/>
      <c r="F23" s="10"/>
      <c r="G23" s="10"/>
      <c r="H23" t="s">
        <v>269</v>
      </c>
      <c r="N23" s="9">
        <v>21</v>
      </c>
      <c r="O23" s="43"/>
      <c r="P23" s="55"/>
      <c r="Q23" s="34"/>
      <c r="R23" s="34"/>
      <c r="S23" s="34"/>
      <c r="T23" s="34"/>
      <c r="U23" s="51"/>
      <c r="V23" s="51"/>
      <c r="W23" s="51"/>
      <c r="X23" s="51"/>
      <c r="Y23" s="51"/>
      <c r="Z23" s="51"/>
      <c r="AA23" s="51"/>
      <c r="AB23" s="51"/>
      <c r="AC23" s="52"/>
      <c r="AE23" s="42" t="s">
        <v>562</v>
      </c>
      <c r="AL23" s="9">
        <v>21</v>
      </c>
      <c r="AM23" s="43"/>
      <c r="AN23" s="55"/>
      <c r="AO23" s="34"/>
      <c r="AP23" s="34"/>
      <c r="AQ23" s="34"/>
      <c r="AR23" s="34"/>
      <c r="AS23" s="51"/>
      <c r="AT23" s="51"/>
      <c r="AU23" s="51"/>
      <c r="AV23" s="51"/>
      <c r="AW23" s="51"/>
      <c r="AX23" s="51"/>
      <c r="AY23" s="51"/>
      <c r="AZ23" s="51"/>
      <c r="BA23" s="52"/>
      <c r="BC23" s="42" t="s">
        <v>562</v>
      </c>
      <c r="BJ23" s="9">
        <v>21</v>
      </c>
      <c r="BK23" s="43"/>
      <c r="BL23" s="55"/>
      <c r="BM23" s="34"/>
      <c r="BN23" s="34"/>
      <c r="BO23" s="34"/>
      <c r="BP23" s="34"/>
      <c r="BQ23" s="51"/>
      <c r="BR23" s="51"/>
      <c r="BS23" s="51"/>
      <c r="BT23" s="51"/>
      <c r="BU23" s="51"/>
      <c r="BV23" s="51"/>
      <c r="BW23" s="51"/>
      <c r="BX23" s="51"/>
      <c r="BY23" s="52"/>
      <c r="CA23" s="42" t="s">
        <v>562</v>
      </c>
      <c r="CH23" s="9">
        <v>21</v>
      </c>
    </row>
    <row r="24" spans="1:86" x14ac:dyDescent="0.15">
      <c r="A24" s="10">
        <f t="shared" si="0"/>
        <v>22</v>
      </c>
      <c r="B24" t="s">
        <v>563</v>
      </c>
      <c r="C24" t="s">
        <v>563</v>
      </c>
      <c r="D24" s="10"/>
      <c r="E24" s="10"/>
      <c r="F24" s="10"/>
      <c r="G24" s="10"/>
      <c r="H24" t="s">
        <v>269</v>
      </c>
      <c r="N24" s="9">
        <v>22</v>
      </c>
      <c r="O24" s="43"/>
      <c r="P24" s="55"/>
      <c r="Q24" s="34"/>
      <c r="R24" s="34"/>
      <c r="S24" s="34"/>
      <c r="T24" s="34"/>
      <c r="U24" s="51"/>
      <c r="V24" s="51"/>
      <c r="W24" s="51"/>
      <c r="X24" s="51"/>
      <c r="Y24" s="51"/>
      <c r="Z24" s="51"/>
      <c r="AA24" s="51"/>
      <c r="AB24" s="51"/>
      <c r="AC24" s="52"/>
      <c r="AE24" s="42" t="s">
        <v>564</v>
      </c>
      <c r="AL24" s="9">
        <v>22</v>
      </c>
      <c r="AM24" s="43"/>
      <c r="AN24" s="55"/>
      <c r="AO24" s="34"/>
      <c r="AP24" s="34"/>
      <c r="AQ24" s="34"/>
      <c r="AR24" s="34"/>
      <c r="AS24" s="51"/>
      <c r="AT24" s="51"/>
      <c r="AU24" s="51"/>
      <c r="AV24" s="51"/>
      <c r="AW24" s="51"/>
      <c r="AX24" s="51"/>
      <c r="AY24" s="51"/>
      <c r="AZ24" s="51"/>
      <c r="BA24" s="52"/>
      <c r="BC24" s="42" t="s">
        <v>564</v>
      </c>
      <c r="BJ24" s="9">
        <v>22</v>
      </c>
      <c r="BK24" s="43"/>
      <c r="BL24" s="55"/>
      <c r="BM24" s="34"/>
      <c r="BN24" s="34"/>
      <c r="BO24" s="34"/>
      <c r="BP24" s="34"/>
      <c r="BQ24" s="51"/>
      <c r="BR24" s="51"/>
      <c r="BS24" s="51"/>
      <c r="BT24" s="51"/>
      <c r="BU24" s="51"/>
      <c r="BV24" s="51"/>
      <c r="BW24" s="51"/>
      <c r="BX24" s="51"/>
      <c r="BY24" s="52"/>
      <c r="CA24" s="42" t="s">
        <v>564</v>
      </c>
      <c r="CH24" s="9">
        <v>22</v>
      </c>
    </row>
    <row r="25" spans="1:86" x14ac:dyDescent="0.15">
      <c r="A25" s="10">
        <f t="shared" si="0"/>
        <v>23</v>
      </c>
      <c r="B25" t="s">
        <v>565</v>
      </c>
      <c r="C25" t="s">
        <v>565</v>
      </c>
      <c r="D25" s="10"/>
      <c r="E25" s="10"/>
      <c r="F25" s="10"/>
      <c r="G25" s="10"/>
      <c r="H25" t="s">
        <v>269</v>
      </c>
      <c r="N25" s="9">
        <v>23</v>
      </c>
      <c r="O25" s="43"/>
      <c r="P25" s="55"/>
      <c r="Q25" s="34"/>
      <c r="R25" s="34"/>
      <c r="S25" s="34"/>
      <c r="T25" s="34"/>
      <c r="U25" s="51"/>
      <c r="V25" s="51"/>
      <c r="W25" s="51"/>
      <c r="X25" s="51"/>
      <c r="Y25" s="51"/>
      <c r="Z25" s="51"/>
      <c r="AA25" s="51"/>
      <c r="AB25" s="51"/>
      <c r="AC25" s="52"/>
      <c r="AE25" s="42" t="s">
        <v>566</v>
      </c>
      <c r="AL25" s="9">
        <v>23</v>
      </c>
      <c r="AM25" s="43"/>
      <c r="AN25" s="55"/>
      <c r="AO25" s="34"/>
      <c r="AP25" s="34"/>
      <c r="AQ25" s="34"/>
      <c r="AR25" s="34"/>
      <c r="AS25" s="51"/>
      <c r="AT25" s="51"/>
      <c r="AU25" s="51"/>
      <c r="AV25" s="51"/>
      <c r="AW25" s="51"/>
      <c r="AX25" s="51"/>
      <c r="AY25" s="51"/>
      <c r="AZ25" s="51"/>
      <c r="BA25" s="52"/>
      <c r="BC25" s="42" t="s">
        <v>566</v>
      </c>
      <c r="BJ25" s="9">
        <v>23</v>
      </c>
      <c r="BK25" s="43"/>
      <c r="BL25" s="55"/>
      <c r="BM25" s="34"/>
      <c r="BN25" s="34"/>
      <c r="BO25" s="34"/>
      <c r="BP25" s="34"/>
      <c r="BQ25" s="51"/>
      <c r="BR25" s="51"/>
      <c r="BS25" s="51"/>
      <c r="BT25" s="51"/>
      <c r="BU25" s="51"/>
      <c r="BV25" s="51"/>
      <c r="BW25" s="51"/>
      <c r="BX25" s="51"/>
      <c r="BY25" s="52"/>
      <c r="CA25" s="42" t="s">
        <v>566</v>
      </c>
      <c r="CH25" s="9">
        <v>23</v>
      </c>
    </row>
    <row r="26" spans="1:86" x14ac:dyDescent="0.15">
      <c r="A26" s="10">
        <f t="shared" si="0"/>
        <v>24</v>
      </c>
      <c r="B26" t="s">
        <v>271</v>
      </c>
      <c r="C26" t="s">
        <v>271</v>
      </c>
      <c r="D26" s="10"/>
      <c r="E26" s="10"/>
      <c r="F26" s="10"/>
      <c r="G26" s="10"/>
      <c r="H26" t="s">
        <v>269</v>
      </c>
      <c r="N26" s="9">
        <v>24</v>
      </c>
      <c r="O26" s="43"/>
      <c r="P26" s="55"/>
      <c r="Q26" s="34"/>
      <c r="R26" s="34"/>
      <c r="S26" s="34"/>
      <c r="T26" s="34"/>
      <c r="U26" s="51"/>
      <c r="V26" s="51"/>
      <c r="W26" s="51"/>
      <c r="X26" s="51"/>
      <c r="Y26" s="51"/>
      <c r="Z26" s="51"/>
      <c r="AA26" s="51"/>
      <c r="AB26" s="51"/>
      <c r="AC26" s="52"/>
      <c r="AL26" s="9">
        <v>24</v>
      </c>
      <c r="AM26" s="43"/>
      <c r="AN26" s="55"/>
      <c r="AO26" s="34"/>
      <c r="AP26" s="34"/>
      <c r="AQ26" s="34"/>
      <c r="AR26" s="34"/>
      <c r="AS26" s="51"/>
      <c r="AT26" s="51"/>
      <c r="AU26" s="51"/>
      <c r="AV26" s="51"/>
      <c r="AW26" s="51"/>
      <c r="AX26" s="51"/>
      <c r="AY26" s="51"/>
      <c r="AZ26" s="51"/>
      <c r="BA26" s="52"/>
      <c r="BJ26" s="9">
        <v>24</v>
      </c>
      <c r="BK26" s="43"/>
      <c r="BL26" s="55"/>
      <c r="BM26" s="34"/>
      <c r="BN26" s="34"/>
      <c r="BO26" s="34"/>
      <c r="BP26" s="34"/>
      <c r="BQ26" s="51"/>
      <c r="BR26" s="51"/>
      <c r="BS26" s="51"/>
      <c r="BT26" s="51"/>
      <c r="BU26" s="51"/>
      <c r="BV26" s="51"/>
      <c r="BW26" s="51"/>
      <c r="BX26" s="51"/>
      <c r="BY26" s="52"/>
      <c r="CH26" s="9">
        <v>24</v>
      </c>
    </row>
    <row r="27" spans="1:86" x14ac:dyDescent="0.15">
      <c r="A27" s="10">
        <f t="shared" si="0"/>
        <v>25</v>
      </c>
      <c r="B27" t="s">
        <v>567</v>
      </c>
      <c r="C27" t="s">
        <v>567</v>
      </c>
      <c r="D27" s="10"/>
      <c r="E27" s="10"/>
      <c r="F27" s="10"/>
      <c r="G27" s="10"/>
      <c r="H27" t="s">
        <v>269</v>
      </c>
      <c r="N27" s="9">
        <v>25</v>
      </c>
      <c r="O27" s="43"/>
      <c r="P27" s="55"/>
      <c r="Q27" s="34"/>
      <c r="R27" s="34"/>
      <c r="S27" s="34"/>
      <c r="T27" s="34"/>
      <c r="U27" s="51"/>
      <c r="V27" s="51"/>
      <c r="W27" s="51"/>
      <c r="X27" s="51"/>
      <c r="Y27" s="51"/>
      <c r="Z27" s="51"/>
      <c r="AA27" s="51"/>
      <c r="AB27" s="51"/>
      <c r="AC27" s="52"/>
      <c r="AE27" s="42" t="s">
        <v>568</v>
      </c>
      <c r="AL27" s="9">
        <v>25</v>
      </c>
      <c r="AM27" s="43"/>
      <c r="AN27" s="55"/>
      <c r="AO27" s="34"/>
      <c r="AP27" s="34"/>
      <c r="AQ27" s="34"/>
      <c r="AR27" s="34"/>
      <c r="AS27" s="51"/>
      <c r="AT27" s="51"/>
      <c r="AU27" s="51"/>
      <c r="AV27" s="51"/>
      <c r="AW27" s="51"/>
      <c r="AX27" s="51"/>
      <c r="AY27" s="51"/>
      <c r="AZ27" s="51"/>
      <c r="BA27" s="52"/>
      <c r="BC27" s="42" t="s">
        <v>568</v>
      </c>
      <c r="BJ27" s="9">
        <v>25</v>
      </c>
      <c r="BK27" s="43"/>
      <c r="BL27" s="55"/>
      <c r="BM27" s="34"/>
      <c r="BN27" s="34"/>
      <c r="BO27" s="34"/>
      <c r="BP27" s="34"/>
      <c r="BQ27" s="51"/>
      <c r="BR27" s="51"/>
      <c r="BS27" s="51"/>
      <c r="BT27" s="51"/>
      <c r="BU27" s="51"/>
      <c r="BV27" s="51"/>
      <c r="BW27" s="51"/>
      <c r="BX27" s="51"/>
      <c r="BY27" s="52"/>
      <c r="CA27" s="42" t="s">
        <v>568</v>
      </c>
      <c r="CH27" s="9">
        <v>25</v>
      </c>
    </row>
    <row r="28" spans="1:86" x14ac:dyDescent="0.15">
      <c r="A28" s="10">
        <f t="shared" si="0"/>
        <v>26</v>
      </c>
      <c r="B28" t="s">
        <v>271</v>
      </c>
      <c r="C28" t="s">
        <v>271</v>
      </c>
      <c r="D28" s="10"/>
      <c r="E28" s="10"/>
      <c r="F28" s="10"/>
      <c r="G28" s="10"/>
      <c r="H28" t="s">
        <v>269</v>
      </c>
      <c r="N28" s="9">
        <v>26</v>
      </c>
      <c r="O28" s="43"/>
      <c r="P28" s="55"/>
      <c r="Q28" s="34"/>
      <c r="R28" s="34"/>
      <c r="S28" s="34"/>
      <c r="T28" s="34"/>
      <c r="U28" s="51"/>
      <c r="V28" s="51"/>
      <c r="W28" s="51"/>
      <c r="X28" s="51"/>
      <c r="Y28" s="51"/>
      <c r="Z28" s="51"/>
      <c r="AA28" s="51"/>
      <c r="AB28" s="51"/>
      <c r="AC28" s="52"/>
      <c r="AL28" s="9">
        <v>26</v>
      </c>
      <c r="AM28" s="43"/>
      <c r="AN28" s="55"/>
      <c r="AO28" s="34"/>
      <c r="AP28" s="34"/>
      <c r="AQ28" s="34"/>
      <c r="AR28" s="34"/>
      <c r="AS28" s="51"/>
      <c r="AT28" s="51"/>
      <c r="AU28" s="51"/>
      <c r="AV28" s="51"/>
      <c r="AW28" s="51"/>
      <c r="AX28" s="51"/>
      <c r="AY28" s="51"/>
      <c r="AZ28" s="51"/>
      <c r="BA28" s="52"/>
      <c r="BJ28" s="9">
        <v>26</v>
      </c>
      <c r="BK28" s="43"/>
      <c r="BL28" s="55"/>
      <c r="BM28" s="34"/>
      <c r="BN28" s="34"/>
      <c r="BO28" s="34"/>
      <c r="BP28" s="34"/>
      <c r="BQ28" s="51"/>
      <c r="BR28" s="51"/>
      <c r="BS28" s="51"/>
      <c r="BT28" s="51"/>
      <c r="BU28" s="51"/>
      <c r="BV28" s="51"/>
      <c r="BW28" s="51"/>
      <c r="BX28" s="51"/>
      <c r="BY28" s="52"/>
      <c r="CH28" s="9">
        <v>26</v>
      </c>
    </row>
    <row r="29" spans="1:86" x14ac:dyDescent="0.15">
      <c r="A29" s="10">
        <f t="shared" si="0"/>
        <v>27</v>
      </c>
      <c r="B29" t="s">
        <v>271</v>
      </c>
      <c r="C29" t="s">
        <v>271</v>
      </c>
      <c r="D29" s="10"/>
      <c r="E29" s="10"/>
      <c r="F29" s="10"/>
      <c r="G29" s="10"/>
      <c r="H29" t="s">
        <v>269</v>
      </c>
      <c r="N29" s="9">
        <v>27</v>
      </c>
      <c r="O29" s="43"/>
      <c r="P29" s="55"/>
      <c r="Q29" s="34"/>
      <c r="R29" s="34"/>
      <c r="S29" s="34"/>
      <c r="T29" s="34"/>
      <c r="U29" s="51"/>
      <c r="V29" s="51"/>
      <c r="W29" s="51"/>
      <c r="X29" s="51"/>
      <c r="Y29" s="51"/>
      <c r="Z29" s="51"/>
      <c r="AA29" s="51"/>
      <c r="AB29" s="51"/>
      <c r="AC29" s="52"/>
      <c r="AL29" s="9">
        <v>27</v>
      </c>
      <c r="AM29" s="43"/>
      <c r="AN29" s="55"/>
      <c r="AO29" s="34"/>
      <c r="AP29" s="34"/>
      <c r="AQ29" s="34"/>
      <c r="AR29" s="34"/>
      <c r="AS29" s="51"/>
      <c r="AT29" s="51"/>
      <c r="AU29" s="51"/>
      <c r="AV29" s="51"/>
      <c r="AW29" s="51"/>
      <c r="AX29" s="51"/>
      <c r="AY29" s="51"/>
      <c r="AZ29" s="51"/>
      <c r="BA29" s="52"/>
      <c r="BJ29" s="9">
        <v>27</v>
      </c>
      <c r="BK29" s="43"/>
      <c r="BL29" s="55"/>
      <c r="BM29" s="34"/>
      <c r="BN29" s="34"/>
      <c r="BO29" s="34"/>
      <c r="BP29" s="34"/>
      <c r="BQ29" s="51"/>
      <c r="BR29" s="51"/>
      <c r="BS29" s="51"/>
      <c r="BT29" s="51"/>
      <c r="BU29" s="51"/>
      <c r="BV29" s="51"/>
      <c r="BW29" s="51"/>
      <c r="BX29" s="51"/>
      <c r="BY29" s="52"/>
      <c r="CH29" s="9">
        <v>27</v>
      </c>
    </row>
    <row r="30" spans="1:86" x14ac:dyDescent="0.15">
      <c r="A30" s="10">
        <f t="shared" si="0"/>
        <v>28</v>
      </c>
      <c r="B30" t="s">
        <v>569</v>
      </c>
      <c r="C30" t="s">
        <v>569</v>
      </c>
      <c r="D30" s="10"/>
      <c r="E30" s="10"/>
      <c r="F30" s="10"/>
      <c r="G30" s="10"/>
      <c r="H30" t="s">
        <v>269</v>
      </c>
      <c r="N30" s="9">
        <v>28</v>
      </c>
      <c r="O30" s="43"/>
      <c r="P30" s="55"/>
      <c r="Q30" s="34"/>
      <c r="R30" s="34"/>
      <c r="S30" s="34"/>
      <c r="T30" s="34"/>
      <c r="U30" s="51"/>
      <c r="V30" s="51"/>
      <c r="W30" s="51"/>
      <c r="X30" s="51"/>
      <c r="Y30" s="51"/>
      <c r="Z30" s="51"/>
      <c r="AA30" s="51"/>
      <c r="AB30" s="51"/>
      <c r="AC30" s="52"/>
      <c r="AE30" s="42" t="s">
        <v>570</v>
      </c>
      <c r="AL30" s="9">
        <v>28</v>
      </c>
      <c r="AM30" s="43"/>
      <c r="AN30" s="55"/>
      <c r="AO30" s="34"/>
      <c r="AP30" s="34"/>
      <c r="AQ30" s="34"/>
      <c r="AR30" s="34"/>
      <c r="AS30" s="51"/>
      <c r="AT30" s="51"/>
      <c r="AU30" s="51"/>
      <c r="AV30" s="51"/>
      <c r="AW30" s="51"/>
      <c r="AX30" s="51"/>
      <c r="AY30" s="51"/>
      <c r="AZ30" s="51"/>
      <c r="BA30" s="52"/>
      <c r="BC30" s="42" t="s">
        <v>570</v>
      </c>
      <c r="BJ30" s="9">
        <v>28</v>
      </c>
      <c r="BK30" s="43"/>
      <c r="BL30" s="55"/>
      <c r="BM30" s="34"/>
      <c r="BN30" s="34"/>
      <c r="BO30" s="34"/>
      <c r="BP30" s="34"/>
      <c r="BQ30" s="51"/>
      <c r="BR30" s="51"/>
      <c r="BS30" s="51"/>
      <c r="BT30" s="51"/>
      <c r="BU30" s="51"/>
      <c r="BV30" s="51"/>
      <c r="BW30" s="51"/>
      <c r="BX30" s="51"/>
      <c r="BY30" s="52"/>
      <c r="CA30" s="42" t="s">
        <v>570</v>
      </c>
      <c r="CH30" s="9">
        <v>28</v>
      </c>
    </row>
    <row r="31" spans="1:86" x14ac:dyDescent="0.15">
      <c r="A31" s="10">
        <f t="shared" si="0"/>
        <v>29</v>
      </c>
      <c r="B31" t="s">
        <v>571</v>
      </c>
      <c r="C31" t="s">
        <v>571</v>
      </c>
      <c r="D31" s="10"/>
      <c r="E31" s="10"/>
      <c r="F31" s="10"/>
      <c r="G31" s="10"/>
      <c r="H31" t="s">
        <v>269</v>
      </c>
      <c r="N31" s="9">
        <v>29</v>
      </c>
      <c r="O31" s="43"/>
      <c r="P31" s="55"/>
      <c r="Q31" s="34"/>
      <c r="R31" s="34"/>
      <c r="S31" s="34"/>
      <c r="T31" s="34"/>
      <c r="U31" s="51"/>
      <c r="V31" s="51"/>
      <c r="W31" s="51"/>
      <c r="X31" s="51"/>
      <c r="Y31" s="51"/>
      <c r="Z31" s="51"/>
      <c r="AA31" s="51"/>
      <c r="AB31" s="51"/>
      <c r="AC31" s="52"/>
      <c r="AE31" s="42" t="s">
        <v>572</v>
      </c>
      <c r="AL31" s="9">
        <v>29</v>
      </c>
      <c r="AM31" s="43"/>
      <c r="AN31" s="55"/>
      <c r="AO31" s="34"/>
      <c r="AP31" s="34"/>
      <c r="AQ31" s="34"/>
      <c r="AR31" s="34"/>
      <c r="AS31" s="51"/>
      <c r="AT31" s="51"/>
      <c r="AU31" s="51"/>
      <c r="AV31" s="51"/>
      <c r="AW31" s="51"/>
      <c r="AX31" s="51"/>
      <c r="AY31" s="51"/>
      <c r="AZ31" s="51"/>
      <c r="BA31" s="52"/>
      <c r="BC31" s="42" t="s">
        <v>572</v>
      </c>
      <c r="BJ31" s="9">
        <v>29</v>
      </c>
      <c r="BK31" s="43"/>
      <c r="BL31" s="55"/>
      <c r="BM31" s="34"/>
      <c r="BN31" s="34"/>
      <c r="BO31" s="34"/>
      <c r="BP31" s="34"/>
      <c r="BQ31" s="51"/>
      <c r="BR31" s="51"/>
      <c r="BS31" s="51"/>
      <c r="BT31" s="51"/>
      <c r="BU31" s="51"/>
      <c r="BV31" s="51"/>
      <c r="BW31" s="51"/>
      <c r="BX31" s="51"/>
      <c r="BY31" s="52"/>
      <c r="CA31" s="42" t="s">
        <v>572</v>
      </c>
      <c r="CH31" s="9">
        <v>29</v>
      </c>
    </row>
    <row r="32" spans="1:86" x14ac:dyDescent="0.15">
      <c r="A32" s="10">
        <f t="shared" si="0"/>
        <v>30</v>
      </c>
      <c r="B32" t="s">
        <v>573</v>
      </c>
      <c r="C32" t="s">
        <v>573</v>
      </c>
      <c r="D32" s="10"/>
      <c r="E32" s="10"/>
      <c r="F32" s="10"/>
      <c r="G32" s="10"/>
      <c r="H32" t="s">
        <v>269</v>
      </c>
      <c r="N32" s="9">
        <v>30</v>
      </c>
      <c r="O32" s="43"/>
      <c r="P32" s="55"/>
      <c r="Q32" s="34"/>
      <c r="R32" s="34"/>
      <c r="S32" s="34"/>
      <c r="T32" s="34"/>
      <c r="U32" s="51"/>
      <c r="V32" s="51"/>
      <c r="W32" s="51"/>
      <c r="X32" s="51"/>
      <c r="Y32" s="51"/>
      <c r="Z32" s="51"/>
      <c r="AA32" s="51"/>
      <c r="AB32" s="51"/>
      <c r="AC32" s="52"/>
      <c r="AE32" s="42" t="s">
        <v>574</v>
      </c>
      <c r="AL32" s="9">
        <v>30</v>
      </c>
      <c r="AM32" s="43"/>
      <c r="AN32" s="55"/>
      <c r="AO32" s="34"/>
      <c r="AP32" s="34"/>
      <c r="AQ32" s="34"/>
      <c r="AR32" s="34"/>
      <c r="AS32" s="51"/>
      <c r="AT32" s="51"/>
      <c r="AU32" s="51"/>
      <c r="AV32" s="51"/>
      <c r="AW32" s="51"/>
      <c r="AX32" s="51"/>
      <c r="AY32" s="51"/>
      <c r="AZ32" s="51"/>
      <c r="BA32" s="52"/>
      <c r="BC32" s="42" t="s">
        <v>574</v>
      </c>
      <c r="BJ32" s="9">
        <v>30</v>
      </c>
      <c r="BK32" s="43"/>
      <c r="BL32" s="55"/>
      <c r="BM32" s="34"/>
      <c r="BN32" s="34"/>
      <c r="BO32" s="34"/>
      <c r="BP32" s="34"/>
      <c r="BQ32" s="51"/>
      <c r="BR32" s="51"/>
      <c r="BS32" s="51"/>
      <c r="BT32" s="51"/>
      <c r="BU32" s="51"/>
      <c r="BV32" s="51"/>
      <c r="BW32" s="51"/>
      <c r="BX32" s="51"/>
      <c r="BY32" s="52"/>
      <c r="CA32" s="42" t="s">
        <v>574</v>
      </c>
      <c r="CH32" s="9">
        <v>30</v>
      </c>
    </row>
    <row r="33" spans="1:86" x14ac:dyDescent="0.15">
      <c r="A33" s="10">
        <f t="shared" si="0"/>
        <v>31</v>
      </c>
      <c r="B33" t="s">
        <v>575</v>
      </c>
      <c r="C33" t="s">
        <v>575</v>
      </c>
      <c r="D33" s="10"/>
      <c r="E33" s="10"/>
      <c r="F33" s="10"/>
      <c r="G33" s="10"/>
      <c r="H33" t="s">
        <v>269</v>
      </c>
      <c r="N33" s="9">
        <v>31</v>
      </c>
      <c r="O33" s="43"/>
      <c r="P33" s="55"/>
      <c r="Q33" s="34"/>
      <c r="R33" s="34"/>
      <c r="S33" s="34"/>
      <c r="T33" s="34"/>
      <c r="U33" s="51"/>
      <c r="V33" s="51"/>
      <c r="W33" s="51"/>
      <c r="X33" s="51"/>
      <c r="Y33" s="51"/>
      <c r="Z33" s="51"/>
      <c r="AA33" s="51"/>
      <c r="AB33" s="51"/>
      <c r="AC33" s="52"/>
      <c r="AE33" s="42" t="s">
        <v>576</v>
      </c>
      <c r="AL33" s="9">
        <v>31</v>
      </c>
      <c r="AM33" s="43"/>
      <c r="AN33" s="55"/>
      <c r="AO33" s="34"/>
      <c r="AP33" s="34"/>
      <c r="AQ33" s="34"/>
      <c r="AR33" s="34"/>
      <c r="AS33" s="51"/>
      <c r="AT33" s="51"/>
      <c r="AU33" s="51"/>
      <c r="AV33" s="51"/>
      <c r="AW33" s="51"/>
      <c r="AX33" s="51"/>
      <c r="AY33" s="51"/>
      <c r="AZ33" s="51"/>
      <c r="BA33" s="52"/>
      <c r="BC33" s="42" t="s">
        <v>576</v>
      </c>
      <c r="BJ33" s="9">
        <v>31</v>
      </c>
      <c r="BK33" s="43"/>
      <c r="BL33" s="55"/>
      <c r="BM33" s="34"/>
      <c r="BN33" s="34"/>
      <c r="BO33" s="34"/>
      <c r="BP33" s="34"/>
      <c r="BQ33" s="51"/>
      <c r="BR33" s="51"/>
      <c r="BS33" s="51"/>
      <c r="BT33" s="51"/>
      <c r="BU33" s="51"/>
      <c r="BV33" s="51"/>
      <c r="BW33" s="51"/>
      <c r="BX33" s="51"/>
      <c r="BY33" s="52"/>
      <c r="CA33" s="42" t="s">
        <v>576</v>
      </c>
      <c r="CH33" s="9">
        <v>31</v>
      </c>
    </row>
    <row r="34" spans="1:86" x14ac:dyDescent="0.15">
      <c r="A34" s="10">
        <f t="shared" si="0"/>
        <v>32</v>
      </c>
      <c r="B34" t="s">
        <v>271</v>
      </c>
      <c r="C34" t="s">
        <v>271</v>
      </c>
      <c r="D34" s="10"/>
      <c r="E34" s="10"/>
      <c r="F34" s="10"/>
      <c r="G34" s="10"/>
      <c r="H34" t="s">
        <v>269</v>
      </c>
      <c r="N34" s="9">
        <v>32</v>
      </c>
      <c r="O34" s="43"/>
      <c r="P34" s="55"/>
      <c r="Q34" s="34"/>
      <c r="R34" s="34"/>
      <c r="S34" s="34"/>
      <c r="T34" s="34"/>
      <c r="U34" s="51"/>
      <c r="V34" s="51"/>
      <c r="W34" s="51"/>
      <c r="X34" s="51"/>
      <c r="Y34" s="51"/>
      <c r="Z34" s="51"/>
      <c r="AA34" s="51"/>
      <c r="AB34" s="51"/>
      <c r="AC34" s="52"/>
      <c r="AL34" s="9">
        <v>32</v>
      </c>
      <c r="AM34" s="43"/>
      <c r="AN34" s="55"/>
      <c r="AO34" s="34"/>
      <c r="AP34" s="34"/>
      <c r="AQ34" s="34"/>
      <c r="AR34" s="34"/>
      <c r="AS34" s="51"/>
      <c r="AT34" s="51"/>
      <c r="AU34" s="51"/>
      <c r="AV34" s="51"/>
      <c r="AW34" s="51"/>
      <c r="AX34" s="51"/>
      <c r="AY34" s="51"/>
      <c r="AZ34" s="51"/>
      <c r="BA34" s="52"/>
      <c r="BJ34" s="9">
        <v>32</v>
      </c>
      <c r="BK34" s="43"/>
      <c r="BL34" s="55"/>
      <c r="BM34" s="34"/>
      <c r="BN34" s="34"/>
      <c r="BO34" s="34"/>
      <c r="BP34" s="34"/>
      <c r="BQ34" s="51"/>
      <c r="BR34" s="51"/>
      <c r="BS34" s="51"/>
      <c r="BT34" s="51"/>
      <c r="BU34" s="51"/>
      <c r="BV34" s="51"/>
      <c r="BW34" s="51"/>
      <c r="BX34" s="51"/>
      <c r="BY34" s="52"/>
      <c r="CH34" s="9">
        <v>32</v>
      </c>
    </row>
    <row r="35" spans="1:86" x14ac:dyDescent="0.15">
      <c r="A35" s="10">
        <f t="shared" ref="A35:A66" si="1">ROW() - 2</f>
        <v>33</v>
      </c>
      <c r="B35" t="s">
        <v>271</v>
      </c>
      <c r="C35" t="s">
        <v>271</v>
      </c>
      <c r="D35" s="10"/>
      <c r="E35" s="10"/>
      <c r="F35" s="10"/>
      <c r="G35" s="10"/>
      <c r="H35" t="s">
        <v>269</v>
      </c>
      <c r="N35" s="9">
        <v>33</v>
      </c>
      <c r="O35" s="43"/>
      <c r="P35" s="55"/>
      <c r="Q35" s="34"/>
      <c r="R35" s="34"/>
      <c r="S35" s="34"/>
      <c r="T35" s="34"/>
      <c r="U35" s="51"/>
      <c r="V35" s="51"/>
      <c r="W35" s="51"/>
      <c r="X35" s="51"/>
      <c r="Y35" s="51"/>
      <c r="Z35" s="51"/>
      <c r="AA35" s="51"/>
      <c r="AB35" s="51"/>
      <c r="AC35" s="52"/>
      <c r="AL35" s="9">
        <v>33</v>
      </c>
      <c r="AM35" s="43"/>
      <c r="AN35" s="55"/>
      <c r="AO35" s="34"/>
      <c r="AP35" s="34"/>
      <c r="AQ35" s="34"/>
      <c r="AR35" s="34"/>
      <c r="AS35" s="51"/>
      <c r="AT35" s="51"/>
      <c r="AU35" s="51"/>
      <c r="AV35" s="51"/>
      <c r="AW35" s="51"/>
      <c r="AX35" s="51"/>
      <c r="AY35" s="51"/>
      <c r="AZ35" s="51"/>
      <c r="BA35" s="52"/>
      <c r="BJ35" s="9">
        <v>33</v>
      </c>
      <c r="BK35" s="43"/>
      <c r="BL35" s="55"/>
      <c r="BM35" s="34"/>
      <c r="BN35" s="34"/>
      <c r="BO35" s="34"/>
      <c r="BP35" s="34"/>
      <c r="BQ35" s="51"/>
      <c r="BR35" s="51"/>
      <c r="BS35" s="51"/>
      <c r="BT35" s="51"/>
      <c r="BU35" s="51"/>
      <c r="BV35" s="51"/>
      <c r="BW35" s="51"/>
      <c r="BX35" s="51"/>
      <c r="BY35" s="52"/>
      <c r="CH35" s="9">
        <v>33</v>
      </c>
    </row>
    <row r="36" spans="1:86" x14ac:dyDescent="0.15">
      <c r="A36" s="10">
        <f t="shared" si="1"/>
        <v>34</v>
      </c>
      <c r="B36" t="s">
        <v>271</v>
      </c>
      <c r="C36" t="s">
        <v>271</v>
      </c>
      <c r="D36" s="10"/>
      <c r="E36" s="10"/>
      <c r="F36" s="10"/>
      <c r="G36" s="10"/>
      <c r="H36" t="s">
        <v>269</v>
      </c>
      <c r="N36" s="9">
        <v>34</v>
      </c>
      <c r="O36" s="43"/>
      <c r="P36" s="55"/>
      <c r="Q36" s="34"/>
      <c r="R36" s="34"/>
      <c r="S36" s="34"/>
      <c r="T36" s="34"/>
      <c r="U36" s="51"/>
      <c r="V36" s="51"/>
      <c r="W36" s="51"/>
      <c r="X36" s="51"/>
      <c r="Y36" s="51"/>
      <c r="Z36" s="51"/>
      <c r="AA36" s="51"/>
      <c r="AB36" s="51"/>
      <c r="AC36" s="52"/>
      <c r="AL36" s="9">
        <v>34</v>
      </c>
      <c r="AM36" s="43"/>
      <c r="AN36" s="55"/>
      <c r="AO36" s="34"/>
      <c r="AP36" s="34"/>
      <c r="AQ36" s="34"/>
      <c r="AR36" s="34"/>
      <c r="AS36" s="51"/>
      <c r="AT36" s="51"/>
      <c r="AU36" s="51"/>
      <c r="AV36" s="51"/>
      <c r="AW36" s="51"/>
      <c r="AX36" s="51"/>
      <c r="AY36" s="51"/>
      <c r="AZ36" s="51"/>
      <c r="BA36" s="52"/>
      <c r="BJ36" s="9">
        <v>34</v>
      </c>
      <c r="BK36" s="43"/>
      <c r="BL36" s="55"/>
      <c r="BM36" s="34"/>
      <c r="BN36" s="34"/>
      <c r="BO36" s="34"/>
      <c r="BP36" s="34"/>
      <c r="BQ36" s="51"/>
      <c r="BR36" s="51"/>
      <c r="BS36" s="51"/>
      <c r="BT36" s="51"/>
      <c r="BU36" s="51"/>
      <c r="BV36" s="51"/>
      <c r="BW36" s="51"/>
      <c r="BX36" s="51"/>
      <c r="BY36" s="52"/>
      <c r="CH36" s="9">
        <v>34</v>
      </c>
    </row>
    <row r="37" spans="1:86" x14ac:dyDescent="0.15">
      <c r="A37" s="10">
        <f t="shared" si="1"/>
        <v>35</v>
      </c>
      <c r="B37" t="s">
        <v>271</v>
      </c>
      <c r="C37" t="s">
        <v>271</v>
      </c>
      <c r="D37" s="10"/>
      <c r="E37" s="10"/>
      <c r="F37" s="10"/>
      <c r="G37" s="10"/>
      <c r="H37" t="s">
        <v>269</v>
      </c>
      <c r="N37" s="9">
        <v>35</v>
      </c>
      <c r="O37" s="43"/>
      <c r="P37" s="55"/>
      <c r="Q37" s="34"/>
      <c r="R37" s="34"/>
      <c r="S37" s="34"/>
      <c r="T37" s="34"/>
      <c r="U37" s="51"/>
      <c r="V37" s="51"/>
      <c r="W37" s="51"/>
      <c r="X37" s="51"/>
      <c r="Y37" s="51"/>
      <c r="Z37" s="51"/>
      <c r="AA37" s="51"/>
      <c r="AB37" s="51"/>
      <c r="AC37" s="52"/>
      <c r="AL37" s="9">
        <v>35</v>
      </c>
      <c r="AM37" s="43"/>
      <c r="AN37" s="55"/>
      <c r="AO37" s="34"/>
      <c r="AP37" s="34"/>
      <c r="AQ37" s="34"/>
      <c r="AR37" s="34"/>
      <c r="AS37" s="51"/>
      <c r="AT37" s="51"/>
      <c r="AU37" s="51"/>
      <c r="AV37" s="51"/>
      <c r="AW37" s="51"/>
      <c r="AX37" s="51"/>
      <c r="AY37" s="51"/>
      <c r="AZ37" s="51"/>
      <c r="BA37" s="52"/>
      <c r="BJ37" s="9">
        <v>35</v>
      </c>
      <c r="BK37" s="43"/>
      <c r="BL37" s="55"/>
      <c r="BM37" s="34"/>
      <c r="BN37" s="34"/>
      <c r="BO37" s="34"/>
      <c r="BP37" s="34"/>
      <c r="BQ37" s="51"/>
      <c r="BR37" s="51"/>
      <c r="BS37" s="51"/>
      <c r="BT37" s="51"/>
      <c r="BU37" s="51"/>
      <c r="BV37" s="51"/>
      <c r="BW37" s="51"/>
      <c r="BX37" s="51"/>
      <c r="BY37" s="52"/>
      <c r="CH37" s="9">
        <v>35</v>
      </c>
    </row>
    <row r="38" spans="1:86" x14ac:dyDescent="0.15">
      <c r="A38" s="10">
        <f t="shared" si="1"/>
        <v>36</v>
      </c>
      <c r="B38" t="s">
        <v>271</v>
      </c>
      <c r="C38" t="s">
        <v>271</v>
      </c>
      <c r="D38" s="10"/>
      <c r="E38" s="10"/>
      <c r="F38" s="10"/>
      <c r="G38" s="10"/>
      <c r="H38" t="s">
        <v>269</v>
      </c>
      <c r="N38" s="9">
        <v>36</v>
      </c>
      <c r="O38" s="43"/>
      <c r="P38" s="55"/>
      <c r="Q38" s="34"/>
      <c r="R38" s="34"/>
      <c r="S38" s="34"/>
      <c r="T38" s="34"/>
      <c r="U38" s="51"/>
      <c r="V38" s="51"/>
      <c r="W38" s="51"/>
      <c r="X38" s="51"/>
      <c r="Y38" s="51"/>
      <c r="Z38" s="51"/>
      <c r="AA38" s="51"/>
      <c r="AB38" s="51"/>
      <c r="AC38" s="52"/>
      <c r="AL38" s="9">
        <v>36</v>
      </c>
      <c r="AM38" s="43"/>
      <c r="AN38" s="55"/>
      <c r="AO38" s="34"/>
      <c r="AP38" s="34"/>
      <c r="AQ38" s="34"/>
      <c r="AR38" s="34"/>
      <c r="AS38" s="51"/>
      <c r="AT38" s="51"/>
      <c r="AU38" s="51"/>
      <c r="AV38" s="51"/>
      <c r="AW38" s="51"/>
      <c r="AX38" s="51"/>
      <c r="AY38" s="51"/>
      <c r="AZ38" s="51"/>
      <c r="BA38" s="52"/>
      <c r="BJ38" s="9">
        <v>36</v>
      </c>
      <c r="BK38" s="43"/>
      <c r="BL38" s="55"/>
      <c r="BM38" s="34"/>
      <c r="BN38" s="34"/>
      <c r="BO38" s="34"/>
      <c r="BP38" s="34"/>
      <c r="BQ38" s="51"/>
      <c r="BR38" s="51"/>
      <c r="BS38" s="51"/>
      <c r="BT38" s="51"/>
      <c r="BU38" s="51"/>
      <c r="BV38" s="51"/>
      <c r="BW38" s="51"/>
      <c r="BX38" s="51"/>
      <c r="BY38" s="52"/>
      <c r="CH38" s="9">
        <v>36</v>
      </c>
    </row>
    <row r="39" spans="1:86" x14ac:dyDescent="0.15">
      <c r="A39" s="10">
        <f t="shared" si="1"/>
        <v>37</v>
      </c>
      <c r="B39" t="s">
        <v>271</v>
      </c>
      <c r="C39" t="s">
        <v>271</v>
      </c>
      <c r="D39" s="10"/>
      <c r="E39" s="10"/>
      <c r="F39" s="10"/>
      <c r="G39" s="10"/>
      <c r="H39" t="s">
        <v>269</v>
      </c>
      <c r="N39" s="9">
        <v>37</v>
      </c>
      <c r="O39" s="43"/>
      <c r="P39" s="55"/>
      <c r="Q39" s="34"/>
      <c r="R39" s="34"/>
      <c r="S39" s="34"/>
      <c r="T39" s="34"/>
      <c r="U39" s="51"/>
      <c r="V39" s="51"/>
      <c r="W39" s="51"/>
      <c r="X39" s="51"/>
      <c r="Y39" s="51"/>
      <c r="Z39" s="51"/>
      <c r="AA39" s="51"/>
      <c r="AB39" s="51"/>
      <c r="AC39" s="52"/>
      <c r="AL39" s="9">
        <v>37</v>
      </c>
      <c r="AM39" s="43"/>
      <c r="AN39" s="55"/>
      <c r="AO39" s="34"/>
      <c r="AP39" s="34"/>
      <c r="AQ39" s="34"/>
      <c r="AR39" s="34"/>
      <c r="AS39" s="51"/>
      <c r="AT39" s="51"/>
      <c r="AU39" s="51"/>
      <c r="AV39" s="51"/>
      <c r="AW39" s="51"/>
      <c r="AX39" s="51"/>
      <c r="AY39" s="51"/>
      <c r="AZ39" s="51"/>
      <c r="BA39" s="52"/>
      <c r="BJ39" s="9">
        <v>37</v>
      </c>
      <c r="BK39" s="43"/>
      <c r="BL39" s="55"/>
      <c r="BM39" s="34"/>
      <c r="BN39" s="34"/>
      <c r="BO39" s="34"/>
      <c r="BP39" s="34"/>
      <c r="BQ39" s="51"/>
      <c r="BR39" s="51"/>
      <c r="BS39" s="51"/>
      <c r="BT39" s="51"/>
      <c r="BU39" s="51"/>
      <c r="BV39" s="51"/>
      <c r="BW39" s="51"/>
      <c r="BX39" s="51"/>
      <c r="BY39" s="52"/>
      <c r="CH39" s="9">
        <v>37</v>
      </c>
    </row>
    <row r="40" spans="1:86" x14ac:dyDescent="0.15">
      <c r="A40" s="10">
        <f t="shared" si="1"/>
        <v>38</v>
      </c>
      <c r="B40" t="s">
        <v>271</v>
      </c>
      <c r="C40" t="s">
        <v>271</v>
      </c>
      <c r="D40" s="10"/>
      <c r="E40" s="10"/>
      <c r="F40" s="10"/>
      <c r="G40" s="10"/>
      <c r="H40" t="s">
        <v>269</v>
      </c>
      <c r="N40" s="9">
        <v>38</v>
      </c>
      <c r="O40" s="43"/>
      <c r="P40" s="55"/>
      <c r="Q40" s="34"/>
      <c r="R40" s="34"/>
      <c r="S40" s="34"/>
      <c r="T40" s="34"/>
      <c r="U40" s="51"/>
      <c r="V40" s="51"/>
      <c r="W40" s="51"/>
      <c r="X40" s="51"/>
      <c r="Y40" s="51"/>
      <c r="Z40" s="51"/>
      <c r="AA40" s="51"/>
      <c r="AB40" s="51"/>
      <c r="AC40" s="52"/>
      <c r="AL40" s="9">
        <v>38</v>
      </c>
      <c r="AM40" s="43"/>
      <c r="AN40" s="55"/>
      <c r="AO40" s="34"/>
      <c r="AP40" s="34"/>
      <c r="AQ40" s="34"/>
      <c r="AR40" s="34"/>
      <c r="AS40" s="51"/>
      <c r="AT40" s="51"/>
      <c r="AU40" s="51"/>
      <c r="AV40" s="51"/>
      <c r="AW40" s="51"/>
      <c r="AX40" s="51"/>
      <c r="AY40" s="51"/>
      <c r="AZ40" s="51"/>
      <c r="BA40" s="52"/>
      <c r="BJ40" s="9">
        <v>38</v>
      </c>
      <c r="BK40" s="43"/>
      <c r="BL40" s="55"/>
      <c r="BM40" s="34"/>
      <c r="BN40" s="34"/>
      <c r="BO40" s="34"/>
      <c r="BP40" s="34"/>
      <c r="BQ40" s="51"/>
      <c r="BR40" s="51"/>
      <c r="BS40" s="51"/>
      <c r="BT40" s="51"/>
      <c r="BU40" s="51"/>
      <c r="BV40" s="51"/>
      <c r="BW40" s="51"/>
      <c r="BX40" s="51"/>
      <c r="BY40" s="52"/>
      <c r="CH40" s="9">
        <v>38</v>
      </c>
    </row>
    <row r="41" spans="1:86" x14ac:dyDescent="0.15">
      <c r="A41" s="10">
        <f t="shared" si="1"/>
        <v>39</v>
      </c>
      <c r="B41" t="s">
        <v>271</v>
      </c>
      <c r="C41" t="s">
        <v>271</v>
      </c>
      <c r="D41" s="10"/>
      <c r="E41" s="10"/>
      <c r="F41" s="10"/>
      <c r="G41" s="10"/>
      <c r="H41" t="s">
        <v>269</v>
      </c>
      <c r="N41" s="9">
        <v>39</v>
      </c>
      <c r="O41" s="43"/>
      <c r="P41" s="55"/>
      <c r="Q41" s="34"/>
      <c r="R41" s="34"/>
      <c r="S41" s="34"/>
      <c r="T41" s="34"/>
      <c r="U41" s="51"/>
      <c r="V41" s="51"/>
      <c r="W41" s="51"/>
      <c r="X41" s="51"/>
      <c r="Y41" s="51"/>
      <c r="Z41" s="51"/>
      <c r="AA41" s="51"/>
      <c r="AB41" s="51"/>
      <c r="AC41" s="52"/>
      <c r="AL41" s="9">
        <v>39</v>
      </c>
      <c r="AM41" s="43"/>
      <c r="AN41" s="55"/>
      <c r="AO41" s="34"/>
      <c r="AP41" s="34"/>
      <c r="AQ41" s="34"/>
      <c r="AR41" s="34"/>
      <c r="AS41" s="51"/>
      <c r="AT41" s="51"/>
      <c r="AU41" s="51"/>
      <c r="AV41" s="51"/>
      <c r="AW41" s="51"/>
      <c r="AX41" s="51"/>
      <c r="AY41" s="51"/>
      <c r="AZ41" s="51"/>
      <c r="BA41" s="52"/>
      <c r="BJ41" s="9">
        <v>39</v>
      </c>
      <c r="BK41" s="43"/>
      <c r="BL41" s="55"/>
      <c r="BM41" s="34"/>
      <c r="BN41" s="34"/>
      <c r="BO41" s="34"/>
      <c r="BP41" s="34"/>
      <c r="BQ41" s="51"/>
      <c r="BR41" s="51"/>
      <c r="BS41" s="51"/>
      <c r="BT41" s="51"/>
      <c r="BU41" s="51"/>
      <c r="BV41" s="51"/>
      <c r="BW41" s="51"/>
      <c r="BX41" s="51"/>
      <c r="BY41" s="52"/>
      <c r="CH41" s="9">
        <v>39</v>
      </c>
    </row>
    <row r="42" spans="1:86" x14ac:dyDescent="0.15">
      <c r="A42" s="10">
        <f t="shared" si="1"/>
        <v>40</v>
      </c>
      <c r="B42" t="s">
        <v>271</v>
      </c>
      <c r="C42" t="s">
        <v>271</v>
      </c>
      <c r="D42" s="10"/>
      <c r="E42" s="10"/>
      <c r="F42" s="10"/>
      <c r="G42" s="10"/>
      <c r="H42" t="s">
        <v>269</v>
      </c>
      <c r="N42" s="9">
        <v>40</v>
      </c>
      <c r="O42" s="43"/>
      <c r="P42" s="55"/>
      <c r="Q42" s="34"/>
      <c r="R42" s="34"/>
      <c r="S42" s="34"/>
      <c r="T42" s="34"/>
      <c r="U42" s="51"/>
      <c r="V42" s="51"/>
      <c r="W42" s="51"/>
      <c r="X42" s="51"/>
      <c r="Y42" s="51"/>
      <c r="Z42" s="51"/>
      <c r="AA42" s="51"/>
      <c r="AB42" s="51"/>
      <c r="AC42" s="52"/>
      <c r="AL42" s="9">
        <v>40</v>
      </c>
      <c r="AM42" s="43"/>
      <c r="AN42" s="55"/>
      <c r="AO42" s="34"/>
      <c r="AP42" s="34"/>
      <c r="AQ42" s="34"/>
      <c r="AR42" s="34"/>
      <c r="AS42" s="51"/>
      <c r="AT42" s="51"/>
      <c r="AU42" s="51"/>
      <c r="AV42" s="51"/>
      <c r="AW42" s="51"/>
      <c r="AX42" s="51"/>
      <c r="AY42" s="51"/>
      <c r="AZ42" s="51"/>
      <c r="BA42" s="52"/>
      <c r="BJ42" s="9">
        <v>40</v>
      </c>
      <c r="BK42" s="43"/>
      <c r="BL42" s="55"/>
      <c r="BM42" s="34"/>
      <c r="BN42" s="34"/>
      <c r="BO42" s="34"/>
      <c r="BP42" s="34"/>
      <c r="BQ42" s="51"/>
      <c r="BR42" s="51"/>
      <c r="BS42" s="51"/>
      <c r="BT42" s="51"/>
      <c r="BU42" s="51"/>
      <c r="BV42" s="51"/>
      <c r="BW42" s="51"/>
      <c r="BX42" s="51"/>
      <c r="BY42" s="52"/>
      <c r="CH42" s="9">
        <v>40</v>
      </c>
    </row>
    <row r="43" spans="1:86" x14ac:dyDescent="0.15">
      <c r="A43" s="10">
        <f t="shared" si="1"/>
        <v>41</v>
      </c>
      <c r="B43" t="s">
        <v>271</v>
      </c>
      <c r="C43" t="s">
        <v>271</v>
      </c>
      <c r="D43" s="10"/>
      <c r="E43" s="10"/>
      <c r="F43" s="10"/>
      <c r="G43" s="10"/>
      <c r="H43" t="s">
        <v>269</v>
      </c>
      <c r="N43" s="9">
        <v>41</v>
      </c>
      <c r="O43" s="43"/>
      <c r="P43" s="55"/>
      <c r="Q43" s="34"/>
      <c r="R43" s="34"/>
      <c r="S43" s="34"/>
      <c r="T43" s="34"/>
      <c r="U43" s="51"/>
      <c r="V43" s="51"/>
      <c r="W43" s="51"/>
      <c r="X43" s="51"/>
      <c r="Y43" s="51"/>
      <c r="Z43" s="51"/>
      <c r="AA43" s="51"/>
      <c r="AB43" s="51"/>
      <c r="AC43" s="52"/>
      <c r="AL43" s="9">
        <v>41</v>
      </c>
      <c r="AM43" s="43"/>
      <c r="AN43" s="55"/>
      <c r="AO43" s="34"/>
      <c r="AP43" s="34"/>
      <c r="AQ43" s="34"/>
      <c r="AR43" s="34"/>
      <c r="AS43" s="51"/>
      <c r="AT43" s="51"/>
      <c r="AU43" s="51"/>
      <c r="AV43" s="51"/>
      <c r="AW43" s="51"/>
      <c r="AX43" s="51"/>
      <c r="AY43" s="51"/>
      <c r="AZ43" s="51"/>
      <c r="BA43" s="52"/>
      <c r="BJ43" s="9">
        <v>41</v>
      </c>
      <c r="BK43" s="43"/>
      <c r="BL43" s="55"/>
      <c r="BM43" s="34"/>
      <c r="BN43" s="34"/>
      <c r="BO43" s="34"/>
      <c r="BP43" s="34"/>
      <c r="BQ43" s="51"/>
      <c r="BR43" s="51"/>
      <c r="BS43" s="51"/>
      <c r="BT43" s="51"/>
      <c r="BU43" s="51"/>
      <c r="BV43" s="51"/>
      <c r="BW43" s="51"/>
      <c r="BX43" s="51"/>
      <c r="BY43" s="52"/>
      <c r="CH43" s="9">
        <v>41</v>
      </c>
    </row>
    <row r="44" spans="1:86" x14ac:dyDescent="0.15">
      <c r="A44" s="10">
        <f t="shared" si="1"/>
        <v>42</v>
      </c>
      <c r="B44" t="s">
        <v>271</v>
      </c>
      <c r="C44" t="s">
        <v>271</v>
      </c>
      <c r="D44" s="10"/>
      <c r="E44" s="10"/>
      <c r="F44" s="10"/>
      <c r="G44" s="10"/>
      <c r="H44" t="s">
        <v>269</v>
      </c>
      <c r="N44" s="9">
        <v>42</v>
      </c>
      <c r="O44" s="43"/>
      <c r="P44" s="55"/>
      <c r="Q44" s="34"/>
      <c r="R44" s="34"/>
      <c r="S44" s="34"/>
      <c r="T44" s="34"/>
      <c r="U44" s="51"/>
      <c r="V44" s="51"/>
      <c r="W44" s="51"/>
      <c r="X44" s="51"/>
      <c r="Y44" s="51"/>
      <c r="Z44" s="51"/>
      <c r="AA44" s="51"/>
      <c r="AB44" s="51"/>
      <c r="AC44" s="52"/>
      <c r="AL44" s="9">
        <v>42</v>
      </c>
      <c r="AM44" s="43"/>
      <c r="AN44" s="55"/>
      <c r="AO44" s="34"/>
      <c r="AP44" s="34"/>
      <c r="AQ44" s="34"/>
      <c r="AR44" s="34"/>
      <c r="AS44" s="51"/>
      <c r="AT44" s="51"/>
      <c r="AU44" s="51"/>
      <c r="AV44" s="51"/>
      <c r="AW44" s="51"/>
      <c r="AX44" s="51"/>
      <c r="AY44" s="51"/>
      <c r="AZ44" s="51"/>
      <c r="BA44" s="52"/>
      <c r="BJ44" s="9">
        <v>42</v>
      </c>
      <c r="BK44" s="43"/>
      <c r="BL44" s="55"/>
      <c r="BM44" s="34"/>
      <c r="BN44" s="34"/>
      <c r="BO44" s="34"/>
      <c r="BP44" s="34"/>
      <c r="BQ44" s="51"/>
      <c r="BR44" s="51"/>
      <c r="BS44" s="51"/>
      <c r="BT44" s="51"/>
      <c r="BU44" s="51"/>
      <c r="BV44" s="51"/>
      <c r="BW44" s="51"/>
      <c r="BX44" s="51"/>
      <c r="BY44" s="52"/>
      <c r="CH44" s="9">
        <v>42</v>
      </c>
    </row>
    <row r="45" spans="1:86" x14ac:dyDescent="0.15">
      <c r="A45" s="10">
        <f t="shared" si="1"/>
        <v>43</v>
      </c>
      <c r="B45" t="s">
        <v>271</v>
      </c>
      <c r="C45" t="s">
        <v>271</v>
      </c>
      <c r="D45" s="10"/>
      <c r="E45" s="10"/>
      <c r="F45" s="10"/>
      <c r="G45" s="10"/>
      <c r="H45" t="s">
        <v>269</v>
      </c>
      <c r="N45" s="9">
        <v>43</v>
      </c>
      <c r="O45" s="43"/>
      <c r="P45" s="55"/>
      <c r="Q45" s="34"/>
      <c r="R45" s="34"/>
      <c r="S45" s="34"/>
      <c r="T45" s="34"/>
      <c r="U45" s="51"/>
      <c r="V45" s="51"/>
      <c r="W45" s="51"/>
      <c r="X45" s="51"/>
      <c r="Y45" s="51"/>
      <c r="Z45" s="51"/>
      <c r="AA45" s="51"/>
      <c r="AB45" s="51"/>
      <c r="AC45" s="52"/>
      <c r="AL45" s="9">
        <v>43</v>
      </c>
      <c r="AM45" s="43"/>
      <c r="AN45" s="55"/>
      <c r="AO45" s="34"/>
      <c r="AP45" s="34"/>
      <c r="AQ45" s="34"/>
      <c r="AR45" s="34"/>
      <c r="AS45" s="51"/>
      <c r="AT45" s="51"/>
      <c r="AU45" s="51"/>
      <c r="AV45" s="51"/>
      <c r="AW45" s="51"/>
      <c r="AX45" s="51"/>
      <c r="AY45" s="51"/>
      <c r="AZ45" s="51"/>
      <c r="BA45" s="52"/>
      <c r="BJ45" s="9">
        <v>43</v>
      </c>
      <c r="BK45" s="43"/>
      <c r="BL45" s="55"/>
      <c r="BM45" s="34"/>
      <c r="BN45" s="34"/>
      <c r="BO45" s="34"/>
      <c r="BP45" s="34"/>
      <c r="BQ45" s="51"/>
      <c r="BR45" s="51"/>
      <c r="BS45" s="51"/>
      <c r="BT45" s="51"/>
      <c r="BU45" s="51"/>
      <c r="BV45" s="51"/>
      <c r="BW45" s="51"/>
      <c r="BX45" s="51"/>
      <c r="BY45" s="52"/>
      <c r="CH45" s="9">
        <v>43</v>
      </c>
    </row>
    <row r="46" spans="1:86" x14ac:dyDescent="0.15">
      <c r="A46" s="10">
        <f t="shared" si="1"/>
        <v>44</v>
      </c>
      <c r="B46" t="s">
        <v>271</v>
      </c>
      <c r="C46" t="s">
        <v>271</v>
      </c>
      <c r="D46" s="10"/>
      <c r="E46" s="10"/>
      <c r="F46" s="10"/>
      <c r="G46" s="10"/>
      <c r="H46" t="s">
        <v>269</v>
      </c>
      <c r="N46" s="9">
        <v>44</v>
      </c>
      <c r="O46" s="43"/>
      <c r="P46" s="55"/>
      <c r="Q46" s="34"/>
      <c r="R46" s="34"/>
      <c r="S46" s="34"/>
      <c r="T46" s="34"/>
      <c r="U46" s="51"/>
      <c r="V46" s="51"/>
      <c r="W46" s="51"/>
      <c r="X46" s="51"/>
      <c r="Y46" s="51"/>
      <c r="Z46" s="51"/>
      <c r="AA46" s="51"/>
      <c r="AB46" s="51"/>
      <c r="AC46" s="52"/>
      <c r="AL46" s="9">
        <v>44</v>
      </c>
      <c r="AM46" s="43"/>
      <c r="AN46" s="55"/>
      <c r="AO46" s="34"/>
      <c r="AP46" s="34"/>
      <c r="AQ46" s="34"/>
      <c r="AR46" s="34"/>
      <c r="AS46" s="51"/>
      <c r="AT46" s="51"/>
      <c r="AU46" s="51"/>
      <c r="AV46" s="51"/>
      <c r="AW46" s="51"/>
      <c r="AX46" s="51"/>
      <c r="AY46" s="51"/>
      <c r="AZ46" s="51"/>
      <c r="BA46" s="52"/>
      <c r="BJ46" s="9">
        <v>44</v>
      </c>
      <c r="BK46" s="43"/>
      <c r="BL46" s="55"/>
      <c r="BM46" s="34"/>
      <c r="BN46" s="34"/>
      <c r="BO46" s="34"/>
      <c r="BP46" s="34"/>
      <c r="BQ46" s="51"/>
      <c r="BR46" s="51"/>
      <c r="BS46" s="51"/>
      <c r="BT46" s="51"/>
      <c r="BU46" s="51"/>
      <c r="BV46" s="51"/>
      <c r="BW46" s="51"/>
      <c r="BX46" s="51"/>
      <c r="BY46" s="52"/>
      <c r="CH46" s="9">
        <v>44</v>
      </c>
    </row>
    <row r="47" spans="1:86" x14ac:dyDescent="0.15">
      <c r="A47" s="10">
        <f t="shared" si="1"/>
        <v>45</v>
      </c>
      <c r="B47" t="s">
        <v>271</v>
      </c>
      <c r="C47" t="s">
        <v>271</v>
      </c>
      <c r="D47" s="10"/>
      <c r="E47" s="10"/>
      <c r="F47" s="10"/>
      <c r="G47" s="10"/>
      <c r="H47" t="s">
        <v>269</v>
      </c>
      <c r="N47" s="9">
        <v>45</v>
      </c>
      <c r="O47" s="43"/>
      <c r="P47" s="55"/>
      <c r="Q47" s="34"/>
      <c r="R47" s="34"/>
      <c r="S47" s="34"/>
      <c r="T47" s="34"/>
      <c r="U47" s="51"/>
      <c r="V47" s="51"/>
      <c r="W47" s="51"/>
      <c r="X47" s="51"/>
      <c r="Y47" s="51"/>
      <c r="Z47" s="51"/>
      <c r="AA47" s="51"/>
      <c r="AB47" s="51"/>
      <c r="AC47" s="52"/>
      <c r="AL47" s="9">
        <v>45</v>
      </c>
      <c r="AM47" s="43"/>
      <c r="AN47" s="55"/>
      <c r="AO47" s="34"/>
      <c r="AP47" s="34"/>
      <c r="AQ47" s="34"/>
      <c r="AR47" s="34"/>
      <c r="AS47" s="51"/>
      <c r="AT47" s="51"/>
      <c r="AU47" s="51"/>
      <c r="AV47" s="51"/>
      <c r="AW47" s="51"/>
      <c r="AX47" s="51"/>
      <c r="AY47" s="51"/>
      <c r="AZ47" s="51"/>
      <c r="BA47" s="52"/>
      <c r="BJ47" s="9">
        <v>45</v>
      </c>
      <c r="BK47" s="43"/>
      <c r="BL47" s="55"/>
      <c r="BM47" s="34"/>
      <c r="BN47" s="34"/>
      <c r="BO47" s="34"/>
      <c r="BP47" s="34"/>
      <c r="BQ47" s="51"/>
      <c r="BR47" s="51"/>
      <c r="BS47" s="51"/>
      <c r="BT47" s="51"/>
      <c r="BU47" s="51"/>
      <c r="BV47" s="51"/>
      <c r="BW47" s="51"/>
      <c r="BX47" s="51"/>
      <c r="BY47" s="52"/>
      <c r="CH47" s="9">
        <v>45</v>
      </c>
    </row>
    <row r="48" spans="1:86" x14ac:dyDescent="0.15">
      <c r="A48" s="10">
        <f t="shared" si="1"/>
        <v>46</v>
      </c>
      <c r="B48" t="s">
        <v>271</v>
      </c>
      <c r="C48" t="s">
        <v>271</v>
      </c>
      <c r="D48" s="10"/>
      <c r="E48" s="10"/>
      <c r="F48" s="10"/>
      <c r="G48" s="10"/>
      <c r="H48" t="s">
        <v>269</v>
      </c>
      <c r="N48" s="9">
        <v>46</v>
      </c>
      <c r="O48" s="43"/>
      <c r="P48" s="55"/>
      <c r="Q48" s="34"/>
      <c r="R48" s="34"/>
      <c r="S48" s="34"/>
      <c r="T48" s="34"/>
      <c r="U48" s="51"/>
      <c r="V48" s="51"/>
      <c r="W48" s="51"/>
      <c r="X48" s="51"/>
      <c r="Y48" s="51"/>
      <c r="Z48" s="51"/>
      <c r="AA48" s="51"/>
      <c r="AB48" s="51"/>
      <c r="AC48" s="52"/>
      <c r="AL48" s="9">
        <v>46</v>
      </c>
      <c r="AM48" s="43"/>
      <c r="AN48" s="55"/>
      <c r="AO48" s="34"/>
      <c r="AP48" s="34"/>
      <c r="AQ48" s="34"/>
      <c r="AR48" s="34"/>
      <c r="AS48" s="51"/>
      <c r="AT48" s="51"/>
      <c r="AU48" s="51"/>
      <c r="AV48" s="51"/>
      <c r="AW48" s="51"/>
      <c r="AX48" s="51"/>
      <c r="AY48" s="51"/>
      <c r="AZ48" s="51"/>
      <c r="BA48" s="52"/>
      <c r="BJ48" s="9">
        <v>46</v>
      </c>
      <c r="BK48" s="43"/>
      <c r="BL48" s="55"/>
      <c r="BM48" s="34"/>
      <c r="BN48" s="34"/>
      <c r="BO48" s="34"/>
      <c r="BP48" s="34"/>
      <c r="BQ48" s="51"/>
      <c r="BR48" s="51"/>
      <c r="BS48" s="51"/>
      <c r="BT48" s="51"/>
      <c r="BU48" s="51"/>
      <c r="BV48" s="51"/>
      <c r="BW48" s="51"/>
      <c r="BX48" s="51"/>
      <c r="BY48" s="52"/>
      <c r="CH48" s="9">
        <v>46</v>
      </c>
    </row>
    <row r="49" spans="1:86" x14ac:dyDescent="0.15">
      <c r="A49" s="10">
        <f t="shared" si="1"/>
        <v>47</v>
      </c>
      <c r="B49" t="s">
        <v>271</v>
      </c>
      <c r="C49" t="s">
        <v>271</v>
      </c>
      <c r="D49" s="10"/>
      <c r="E49" s="10"/>
      <c r="F49" s="10"/>
      <c r="G49" s="10"/>
      <c r="H49" t="s">
        <v>269</v>
      </c>
      <c r="N49" s="9">
        <v>47</v>
      </c>
      <c r="O49" s="43"/>
      <c r="P49" s="55"/>
      <c r="Q49" s="34"/>
      <c r="R49" s="34"/>
      <c r="S49" s="34"/>
      <c r="T49" s="34"/>
      <c r="U49" s="51"/>
      <c r="V49" s="51"/>
      <c r="W49" s="51"/>
      <c r="X49" s="51"/>
      <c r="Y49" s="51"/>
      <c r="Z49" s="51"/>
      <c r="AA49" s="51"/>
      <c r="AB49" s="51"/>
      <c r="AC49" s="52"/>
      <c r="AL49" s="9">
        <v>47</v>
      </c>
      <c r="AM49" s="43"/>
      <c r="AN49" s="55"/>
      <c r="AO49" s="34"/>
      <c r="AP49" s="34"/>
      <c r="AQ49" s="34"/>
      <c r="AR49" s="34"/>
      <c r="AS49" s="51"/>
      <c r="AT49" s="51"/>
      <c r="AU49" s="51"/>
      <c r="AV49" s="51"/>
      <c r="AW49" s="51"/>
      <c r="AX49" s="51"/>
      <c r="AY49" s="51"/>
      <c r="AZ49" s="51"/>
      <c r="BA49" s="52"/>
      <c r="BJ49" s="9">
        <v>47</v>
      </c>
      <c r="BK49" s="43"/>
      <c r="BL49" s="55"/>
      <c r="BM49" s="34"/>
      <c r="BN49" s="34"/>
      <c r="BO49" s="34"/>
      <c r="BP49" s="34"/>
      <c r="BQ49" s="51"/>
      <c r="BR49" s="51"/>
      <c r="BS49" s="51"/>
      <c r="BT49" s="51"/>
      <c r="BU49" s="51"/>
      <c r="BV49" s="51"/>
      <c r="BW49" s="51"/>
      <c r="BX49" s="51"/>
      <c r="BY49" s="52"/>
      <c r="CH49" s="9">
        <v>47</v>
      </c>
    </row>
    <row r="50" spans="1:86" x14ac:dyDescent="0.15">
      <c r="A50" s="10">
        <f t="shared" si="1"/>
        <v>48</v>
      </c>
      <c r="B50" t="s">
        <v>271</v>
      </c>
      <c r="C50" t="s">
        <v>271</v>
      </c>
      <c r="D50" s="10"/>
      <c r="E50" s="10"/>
      <c r="F50" s="10"/>
      <c r="G50" s="10"/>
      <c r="H50" t="s">
        <v>269</v>
      </c>
      <c r="N50" s="9">
        <v>48</v>
      </c>
      <c r="O50" s="43"/>
      <c r="P50" s="55"/>
      <c r="Q50" s="34"/>
      <c r="R50" s="34"/>
      <c r="S50" s="34"/>
      <c r="T50" s="34"/>
      <c r="U50" s="51"/>
      <c r="V50" s="51"/>
      <c r="W50" s="51"/>
      <c r="X50" s="51"/>
      <c r="Y50" s="51"/>
      <c r="Z50" s="51"/>
      <c r="AA50" s="51"/>
      <c r="AB50" s="51"/>
      <c r="AC50" s="52"/>
      <c r="AL50" s="9">
        <v>48</v>
      </c>
      <c r="AM50" s="43"/>
      <c r="AN50" s="55"/>
      <c r="AO50" s="34"/>
      <c r="AP50" s="34"/>
      <c r="AQ50" s="34"/>
      <c r="AR50" s="34"/>
      <c r="AS50" s="51"/>
      <c r="AT50" s="51"/>
      <c r="AU50" s="51"/>
      <c r="AV50" s="51"/>
      <c r="AW50" s="51"/>
      <c r="AX50" s="51"/>
      <c r="AY50" s="51"/>
      <c r="AZ50" s="51"/>
      <c r="BA50" s="52"/>
      <c r="BJ50" s="9">
        <v>48</v>
      </c>
      <c r="BK50" s="43"/>
      <c r="BL50" s="55"/>
      <c r="BM50" s="34"/>
      <c r="BN50" s="34"/>
      <c r="BO50" s="34"/>
      <c r="BP50" s="34"/>
      <c r="BQ50" s="51"/>
      <c r="BR50" s="51"/>
      <c r="BS50" s="51"/>
      <c r="BT50" s="51"/>
      <c r="BU50" s="51"/>
      <c r="BV50" s="51"/>
      <c r="BW50" s="51"/>
      <c r="BX50" s="51"/>
      <c r="BY50" s="52"/>
      <c r="CH50" s="9">
        <v>48</v>
      </c>
    </row>
    <row r="51" spans="1:86" x14ac:dyDescent="0.15">
      <c r="A51" s="10">
        <f t="shared" si="1"/>
        <v>49</v>
      </c>
      <c r="B51" t="s">
        <v>271</v>
      </c>
      <c r="C51" t="s">
        <v>271</v>
      </c>
      <c r="D51" s="10"/>
      <c r="E51" s="10"/>
      <c r="F51" s="10"/>
      <c r="G51" s="10"/>
      <c r="H51" t="s">
        <v>269</v>
      </c>
      <c r="N51" s="9">
        <v>49</v>
      </c>
      <c r="O51" s="43"/>
      <c r="P51" s="55"/>
      <c r="Q51" s="34"/>
      <c r="R51" s="34"/>
      <c r="S51" s="34"/>
      <c r="T51" s="34"/>
      <c r="U51" s="51"/>
      <c r="V51" s="51"/>
      <c r="W51" s="51"/>
      <c r="X51" s="51"/>
      <c r="Y51" s="51"/>
      <c r="Z51" s="51"/>
      <c r="AA51" s="51"/>
      <c r="AB51" s="51"/>
      <c r="AC51" s="52"/>
      <c r="AL51" s="9">
        <v>49</v>
      </c>
      <c r="AM51" s="43"/>
      <c r="AN51" s="55"/>
      <c r="AO51" s="34"/>
      <c r="AP51" s="34"/>
      <c r="AQ51" s="34"/>
      <c r="AR51" s="34"/>
      <c r="AS51" s="51"/>
      <c r="AT51" s="51"/>
      <c r="AU51" s="51"/>
      <c r="AV51" s="51"/>
      <c r="AW51" s="51"/>
      <c r="AX51" s="51"/>
      <c r="AY51" s="51"/>
      <c r="AZ51" s="51"/>
      <c r="BA51" s="52"/>
      <c r="BJ51" s="9">
        <v>49</v>
      </c>
      <c r="BK51" s="43"/>
      <c r="BL51" s="55"/>
      <c r="BM51" s="34"/>
      <c r="BN51" s="34"/>
      <c r="BO51" s="34"/>
      <c r="BP51" s="34"/>
      <c r="BQ51" s="51"/>
      <c r="BR51" s="51"/>
      <c r="BS51" s="51"/>
      <c r="BT51" s="51"/>
      <c r="BU51" s="51"/>
      <c r="BV51" s="51"/>
      <c r="BW51" s="51"/>
      <c r="BX51" s="51"/>
      <c r="BY51" s="52"/>
      <c r="CH51" s="9">
        <v>49</v>
      </c>
    </row>
    <row r="52" spans="1:86" x14ac:dyDescent="0.15">
      <c r="A52" s="10">
        <f t="shared" si="1"/>
        <v>50</v>
      </c>
      <c r="B52" t="s">
        <v>271</v>
      </c>
      <c r="C52" t="s">
        <v>271</v>
      </c>
      <c r="D52" s="10"/>
      <c r="E52" s="10"/>
      <c r="F52" s="10"/>
      <c r="G52" s="10"/>
      <c r="H52" t="s">
        <v>269</v>
      </c>
      <c r="N52" s="9">
        <v>50</v>
      </c>
      <c r="O52" s="43"/>
      <c r="P52" s="55"/>
      <c r="Q52" s="34"/>
      <c r="R52" s="34"/>
      <c r="S52" s="34"/>
      <c r="T52" s="34"/>
      <c r="U52" s="51"/>
      <c r="V52" s="51"/>
      <c r="W52" s="51"/>
      <c r="X52" s="51"/>
      <c r="Y52" s="51"/>
      <c r="Z52" s="51"/>
      <c r="AA52" s="51"/>
      <c r="AB52" s="51"/>
      <c r="AC52" s="52"/>
      <c r="AL52" s="9">
        <v>50</v>
      </c>
      <c r="AM52" s="43"/>
      <c r="AN52" s="55"/>
      <c r="AO52" s="34"/>
      <c r="AP52" s="34"/>
      <c r="AQ52" s="34"/>
      <c r="AR52" s="34"/>
      <c r="AS52" s="51"/>
      <c r="AT52" s="51"/>
      <c r="AU52" s="51"/>
      <c r="AV52" s="51"/>
      <c r="AW52" s="51"/>
      <c r="AX52" s="51"/>
      <c r="AY52" s="51"/>
      <c r="AZ52" s="51"/>
      <c r="BA52" s="52"/>
      <c r="BJ52" s="9">
        <v>50</v>
      </c>
      <c r="BK52" s="43"/>
      <c r="BL52" s="55"/>
      <c r="BM52" s="34"/>
      <c r="BN52" s="34"/>
      <c r="BO52" s="34"/>
      <c r="BP52" s="34"/>
      <c r="BQ52" s="51"/>
      <c r="BR52" s="51"/>
      <c r="BS52" s="51"/>
      <c r="BT52" s="51"/>
      <c r="BU52" s="51"/>
      <c r="BV52" s="51"/>
      <c r="BW52" s="51"/>
      <c r="BX52" s="51"/>
      <c r="BY52" s="52"/>
      <c r="CH52" s="9">
        <v>50</v>
      </c>
    </row>
    <row r="53" spans="1:86" x14ac:dyDescent="0.15">
      <c r="A53" s="10">
        <f t="shared" si="1"/>
        <v>51</v>
      </c>
      <c r="B53" t="s">
        <v>271</v>
      </c>
      <c r="C53" t="s">
        <v>271</v>
      </c>
      <c r="D53" s="10"/>
      <c r="E53" s="10"/>
      <c r="F53" s="10"/>
      <c r="G53" s="10"/>
      <c r="H53" t="s">
        <v>269</v>
      </c>
      <c r="N53" s="9">
        <v>51</v>
      </c>
      <c r="O53" s="43"/>
      <c r="P53" s="55"/>
      <c r="Q53" s="34"/>
      <c r="R53" s="34"/>
      <c r="S53" s="34"/>
      <c r="T53" s="34"/>
      <c r="U53" s="51"/>
      <c r="V53" s="51"/>
      <c r="W53" s="51"/>
      <c r="X53" s="51"/>
      <c r="Y53" s="51"/>
      <c r="Z53" s="51"/>
      <c r="AA53" s="51"/>
      <c r="AB53" s="51"/>
      <c r="AC53" s="52"/>
      <c r="AL53" s="9">
        <v>51</v>
      </c>
      <c r="AM53" s="43"/>
      <c r="AN53" s="55"/>
      <c r="AO53" s="34"/>
      <c r="AP53" s="34"/>
      <c r="AQ53" s="34"/>
      <c r="AR53" s="34"/>
      <c r="AS53" s="51"/>
      <c r="AT53" s="51"/>
      <c r="AU53" s="51"/>
      <c r="AV53" s="51"/>
      <c r="AW53" s="51"/>
      <c r="AX53" s="51"/>
      <c r="AY53" s="51"/>
      <c r="AZ53" s="51"/>
      <c r="BA53" s="52"/>
      <c r="BJ53" s="9">
        <v>51</v>
      </c>
      <c r="BK53" s="43"/>
      <c r="BL53" s="55"/>
      <c r="BM53" s="34"/>
      <c r="BN53" s="34"/>
      <c r="BO53" s="34"/>
      <c r="BP53" s="34"/>
      <c r="BQ53" s="51"/>
      <c r="BR53" s="51"/>
      <c r="BS53" s="51"/>
      <c r="BT53" s="51"/>
      <c r="BU53" s="51"/>
      <c r="BV53" s="51"/>
      <c r="BW53" s="51"/>
      <c r="BX53" s="51"/>
      <c r="BY53" s="52"/>
      <c r="CH53" s="9">
        <v>51</v>
      </c>
    </row>
    <row r="54" spans="1:86" x14ac:dyDescent="0.15">
      <c r="A54" s="10">
        <f t="shared" si="1"/>
        <v>52</v>
      </c>
      <c r="B54" t="s">
        <v>271</v>
      </c>
      <c r="C54" t="s">
        <v>271</v>
      </c>
      <c r="D54" s="10"/>
      <c r="E54" s="10"/>
      <c r="F54" s="10"/>
      <c r="G54" s="10"/>
      <c r="H54" t="s">
        <v>269</v>
      </c>
      <c r="N54" s="9">
        <v>52</v>
      </c>
      <c r="O54" s="43"/>
      <c r="P54" s="55"/>
      <c r="Q54" s="34"/>
      <c r="R54" s="34"/>
      <c r="S54" s="34"/>
      <c r="T54" s="34"/>
      <c r="U54" s="51"/>
      <c r="V54" s="51"/>
      <c r="W54" s="51"/>
      <c r="X54" s="51"/>
      <c r="Y54" s="51"/>
      <c r="Z54" s="51"/>
      <c r="AA54" s="51"/>
      <c r="AB54" s="51"/>
      <c r="AC54" s="52"/>
      <c r="AL54" s="9">
        <v>52</v>
      </c>
      <c r="AM54" s="43"/>
      <c r="AN54" s="55"/>
      <c r="AO54" s="34"/>
      <c r="AP54" s="34"/>
      <c r="AQ54" s="34"/>
      <c r="AR54" s="34"/>
      <c r="AS54" s="51"/>
      <c r="AT54" s="51"/>
      <c r="AU54" s="51"/>
      <c r="AV54" s="51"/>
      <c r="AW54" s="51"/>
      <c r="AX54" s="51"/>
      <c r="AY54" s="51"/>
      <c r="AZ54" s="51"/>
      <c r="BA54" s="52"/>
      <c r="BJ54" s="9">
        <v>52</v>
      </c>
      <c r="BK54" s="43"/>
      <c r="BL54" s="55"/>
      <c r="BM54" s="34"/>
      <c r="BN54" s="34"/>
      <c r="BO54" s="34"/>
      <c r="BP54" s="34"/>
      <c r="BQ54" s="51"/>
      <c r="BR54" s="51"/>
      <c r="BS54" s="51"/>
      <c r="BT54" s="51"/>
      <c r="BU54" s="51"/>
      <c r="BV54" s="51"/>
      <c r="BW54" s="51"/>
      <c r="BX54" s="51"/>
      <c r="BY54" s="52"/>
      <c r="CH54" s="9">
        <v>52</v>
      </c>
    </row>
    <row r="55" spans="1:86" x14ac:dyDescent="0.15">
      <c r="A55" s="10">
        <f t="shared" si="1"/>
        <v>53</v>
      </c>
      <c r="B55" t="s">
        <v>271</v>
      </c>
      <c r="C55" t="s">
        <v>271</v>
      </c>
      <c r="D55" s="10"/>
      <c r="E55" s="10"/>
      <c r="F55" s="10"/>
      <c r="G55" s="10"/>
      <c r="H55" t="s">
        <v>269</v>
      </c>
      <c r="N55" s="9">
        <v>53</v>
      </c>
      <c r="O55" s="43"/>
      <c r="P55" s="55"/>
      <c r="Q55" s="34"/>
      <c r="R55" s="34"/>
      <c r="S55" s="34"/>
      <c r="T55" s="34"/>
      <c r="U55" s="51"/>
      <c r="V55" s="51"/>
      <c r="W55" s="51"/>
      <c r="X55" s="51"/>
      <c r="Y55" s="51"/>
      <c r="Z55" s="51"/>
      <c r="AA55" s="51"/>
      <c r="AB55" s="51"/>
      <c r="AC55" s="52"/>
      <c r="AL55" s="9">
        <v>53</v>
      </c>
      <c r="AM55" s="43"/>
      <c r="AN55" s="55"/>
      <c r="AO55" s="34"/>
      <c r="AP55" s="34"/>
      <c r="AQ55" s="34"/>
      <c r="AR55" s="34"/>
      <c r="AS55" s="51"/>
      <c r="AT55" s="51"/>
      <c r="AU55" s="51"/>
      <c r="AV55" s="51"/>
      <c r="AW55" s="51"/>
      <c r="AX55" s="51"/>
      <c r="AY55" s="51"/>
      <c r="AZ55" s="51"/>
      <c r="BA55" s="52"/>
      <c r="BJ55" s="9">
        <v>53</v>
      </c>
      <c r="BK55" s="43"/>
      <c r="BL55" s="55"/>
      <c r="BM55" s="34"/>
      <c r="BN55" s="34"/>
      <c r="BO55" s="34"/>
      <c r="BP55" s="34"/>
      <c r="BQ55" s="51"/>
      <c r="BR55" s="51"/>
      <c r="BS55" s="51"/>
      <c r="BT55" s="51"/>
      <c r="BU55" s="51"/>
      <c r="BV55" s="51"/>
      <c r="BW55" s="51"/>
      <c r="BX55" s="51"/>
      <c r="BY55" s="52"/>
      <c r="CH55" s="9">
        <v>53</v>
      </c>
    </row>
    <row r="56" spans="1:86" x14ac:dyDescent="0.15">
      <c r="A56" s="10">
        <f t="shared" si="1"/>
        <v>54</v>
      </c>
      <c r="B56" t="s">
        <v>271</v>
      </c>
      <c r="C56" t="s">
        <v>271</v>
      </c>
      <c r="D56" s="10"/>
      <c r="E56" s="10"/>
      <c r="F56" s="10"/>
      <c r="G56" s="10"/>
      <c r="H56" t="s">
        <v>269</v>
      </c>
      <c r="N56" s="9">
        <v>54</v>
      </c>
      <c r="O56" s="43"/>
      <c r="P56" s="55"/>
      <c r="Q56" s="34"/>
      <c r="R56" s="34"/>
      <c r="S56" s="34"/>
      <c r="T56" s="34"/>
      <c r="U56" s="51"/>
      <c r="V56" s="51"/>
      <c r="W56" s="51"/>
      <c r="X56" s="51"/>
      <c r="Y56" s="51"/>
      <c r="Z56" s="51"/>
      <c r="AA56" s="51"/>
      <c r="AB56" s="51"/>
      <c r="AC56" s="52"/>
      <c r="AL56" s="9">
        <v>54</v>
      </c>
      <c r="AM56" s="43"/>
      <c r="AN56" s="55"/>
      <c r="AO56" s="34"/>
      <c r="AP56" s="34"/>
      <c r="AQ56" s="34"/>
      <c r="AR56" s="34"/>
      <c r="AS56" s="51"/>
      <c r="AT56" s="51"/>
      <c r="AU56" s="51"/>
      <c r="AV56" s="51"/>
      <c r="AW56" s="51"/>
      <c r="AX56" s="51"/>
      <c r="AY56" s="51"/>
      <c r="AZ56" s="51"/>
      <c r="BA56" s="52"/>
      <c r="BJ56" s="9">
        <v>54</v>
      </c>
      <c r="BK56" s="43"/>
      <c r="BL56" s="55"/>
      <c r="BM56" s="34"/>
      <c r="BN56" s="34"/>
      <c r="BO56" s="34"/>
      <c r="BP56" s="34"/>
      <c r="BQ56" s="51"/>
      <c r="BR56" s="51"/>
      <c r="BS56" s="51"/>
      <c r="BT56" s="51"/>
      <c r="BU56" s="51"/>
      <c r="BV56" s="51"/>
      <c r="BW56" s="51"/>
      <c r="BX56" s="51"/>
      <c r="BY56" s="52"/>
      <c r="CH56" s="9">
        <v>54</v>
      </c>
    </row>
    <row r="57" spans="1:86" x14ac:dyDescent="0.15">
      <c r="A57" s="10">
        <f t="shared" si="1"/>
        <v>55</v>
      </c>
      <c r="B57" t="s">
        <v>271</v>
      </c>
      <c r="C57" t="s">
        <v>271</v>
      </c>
      <c r="D57" s="10"/>
      <c r="E57" s="10"/>
      <c r="F57" s="10"/>
      <c r="G57" s="10"/>
      <c r="H57" t="s">
        <v>269</v>
      </c>
      <c r="N57" s="9">
        <v>55</v>
      </c>
      <c r="O57" s="43"/>
      <c r="P57" s="55"/>
      <c r="Q57" s="34"/>
      <c r="R57" s="34"/>
      <c r="S57" s="34"/>
      <c r="T57" s="34"/>
      <c r="U57" s="51"/>
      <c r="V57" s="51"/>
      <c r="W57" s="51"/>
      <c r="X57" s="51"/>
      <c r="Y57" s="51"/>
      <c r="Z57" s="51"/>
      <c r="AA57" s="51"/>
      <c r="AB57" s="51"/>
      <c r="AC57" s="52"/>
      <c r="AL57" s="9">
        <v>55</v>
      </c>
      <c r="AM57" s="43"/>
      <c r="AN57" s="55"/>
      <c r="AO57" s="34"/>
      <c r="AP57" s="34"/>
      <c r="AQ57" s="34"/>
      <c r="AR57" s="34"/>
      <c r="AS57" s="51"/>
      <c r="AT57" s="51"/>
      <c r="AU57" s="51"/>
      <c r="AV57" s="51"/>
      <c r="AW57" s="51"/>
      <c r="AX57" s="51"/>
      <c r="AY57" s="51"/>
      <c r="AZ57" s="51"/>
      <c r="BA57" s="52"/>
      <c r="BJ57" s="9">
        <v>55</v>
      </c>
      <c r="BK57" s="43"/>
      <c r="BL57" s="55"/>
      <c r="BM57" s="34"/>
      <c r="BN57" s="34"/>
      <c r="BO57" s="34"/>
      <c r="BP57" s="34"/>
      <c r="BQ57" s="51"/>
      <c r="BR57" s="51"/>
      <c r="BS57" s="51"/>
      <c r="BT57" s="51"/>
      <c r="BU57" s="51"/>
      <c r="BV57" s="51"/>
      <c r="BW57" s="51"/>
      <c r="BX57" s="51"/>
      <c r="BY57" s="52"/>
      <c r="CH57" s="9">
        <v>55</v>
      </c>
    </row>
    <row r="58" spans="1:86" x14ac:dyDescent="0.15">
      <c r="A58" s="10">
        <f t="shared" si="1"/>
        <v>56</v>
      </c>
      <c r="B58" t="s">
        <v>271</v>
      </c>
      <c r="C58" t="s">
        <v>271</v>
      </c>
      <c r="D58" s="10"/>
      <c r="E58" s="10"/>
      <c r="F58" s="10"/>
      <c r="G58" s="10"/>
      <c r="H58" t="s">
        <v>269</v>
      </c>
      <c r="N58" s="9">
        <v>56</v>
      </c>
      <c r="O58" s="43"/>
      <c r="P58" s="55"/>
      <c r="Q58" s="34"/>
      <c r="R58" s="34"/>
      <c r="S58" s="34"/>
      <c r="T58" s="34"/>
      <c r="U58" s="51"/>
      <c r="V58" s="51"/>
      <c r="W58" s="51"/>
      <c r="X58" s="51"/>
      <c r="Y58" s="51"/>
      <c r="Z58" s="51"/>
      <c r="AA58" s="51"/>
      <c r="AB58" s="51"/>
      <c r="AC58" s="52"/>
      <c r="AL58" s="9">
        <v>56</v>
      </c>
      <c r="AM58" s="43"/>
      <c r="AN58" s="55"/>
      <c r="AO58" s="34"/>
      <c r="AP58" s="34"/>
      <c r="AQ58" s="34"/>
      <c r="AR58" s="34"/>
      <c r="AS58" s="51"/>
      <c r="AT58" s="51"/>
      <c r="AU58" s="51"/>
      <c r="AV58" s="51"/>
      <c r="AW58" s="51"/>
      <c r="AX58" s="51"/>
      <c r="AY58" s="51"/>
      <c r="AZ58" s="51"/>
      <c r="BA58" s="52"/>
      <c r="BJ58" s="9">
        <v>56</v>
      </c>
      <c r="BK58" s="43"/>
      <c r="BL58" s="55"/>
      <c r="BM58" s="34"/>
      <c r="BN58" s="34"/>
      <c r="BO58" s="34"/>
      <c r="BP58" s="34"/>
      <c r="BQ58" s="51"/>
      <c r="BR58" s="51"/>
      <c r="BS58" s="51"/>
      <c r="BT58" s="51"/>
      <c r="BU58" s="51"/>
      <c r="BV58" s="51"/>
      <c r="BW58" s="51"/>
      <c r="BX58" s="51"/>
      <c r="BY58" s="52"/>
      <c r="CH58" s="9">
        <v>56</v>
      </c>
    </row>
    <row r="59" spans="1:86" x14ac:dyDescent="0.15">
      <c r="A59" s="10">
        <f t="shared" si="1"/>
        <v>57</v>
      </c>
      <c r="B59" t="s">
        <v>271</v>
      </c>
      <c r="C59" t="s">
        <v>271</v>
      </c>
      <c r="D59" s="10"/>
      <c r="E59" s="10"/>
      <c r="F59" s="10"/>
      <c r="G59" s="10"/>
      <c r="H59" t="s">
        <v>269</v>
      </c>
      <c r="N59" s="9">
        <v>57</v>
      </c>
      <c r="O59" s="43"/>
      <c r="P59" s="55"/>
      <c r="Q59" s="34"/>
      <c r="R59" s="34"/>
      <c r="S59" s="34"/>
      <c r="T59" s="34"/>
      <c r="U59" s="51"/>
      <c r="V59" s="51"/>
      <c r="W59" s="51"/>
      <c r="X59" s="51"/>
      <c r="Y59" s="51"/>
      <c r="Z59" s="51"/>
      <c r="AA59" s="51"/>
      <c r="AB59" s="51"/>
      <c r="AC59" s="52"/>
      <c r="AL59" s="9">
        <v>57</v>
      </c>
      <c r="AM59" s="43"/>
      <c r="AN59" s="55"/>
      <c r="AO59" s="34"/>
      <c r="AP59" s="34"/>
      <c r="AQ59" s="34"/>
      <c r="AR59" s="34"/>
      <c r="AS59" s="51"/>
      <c r="AT59" s="51"/>
      <c r="AU59" s="51"/>
      <c r="AV59" s="51"/>
      <c r="AW59" s="51"/>
      <c r="AX59" s="51"/>
      <c r="AY59" s="51"/>
      <c r="AZ59" s="51"/>
      <c r="BA59" s="52"/>
      <c r="BJ59" s="9">
        <v>57</v>
      </c>
      <c r="BK59" s="43"/>
      <c r="BL59" s="55"/>
      <c r="BM59" s="34"/>
      <c r="BN59" s="34"/>
      <c r="BO59" s="34"/>
      <c r="BP59" s="34"/>
      <c r="BQ59" s="51"/>
      <c r="BR59" s="51"/>
      <c r="BS59" s="51"/>
      <c r="BT59" s="51"/>
      <c r="BU59" s="51"/>
      <c r="BV59" s="51"/>
      <c r="BW59" s="51"/>
      <c r="BX59" s="51"/>
      <c r="BY59" s="52"/>
      <c r="CH59" s="9">
        <v>57</v>
      </c>
    </row>
    <row r="60" spans="1:86" x14ac:dyDescent="0.15">
      <c r="A60" s="10">
        <f t="shared" si="1"/>
        <v>58</v>
      </c>
      <c r="B60" t="s">
        <v>271</v>
      </c>
      <c r="C60" t="s">
        <v>271</v>
      </c>
      <c r="D60" s="10"/>
      <c r="E60" s="10"/>
      <c r="F60" s="10"/>
      <c r="G60" s="10"/>
      <c r="H60" t="s">
        <v>269</v>
      </c>
      <c r="N60" s="9">
        <v>58</v>
      </c>
      <c r="O60" s="43"/>
      <c r="P60" s="55"/>
      <c r="Q60" s="34"/>
      <c r="R60" s="34"/>
      <c r="S60" s="34"/>
      <c r="T60" s="34"/>
      <c r="U60" s="51"/>
      <c r="V60" s="51"/>
      <c r="W60" s="51"/>
      <c r="X60" s="51"/>
      <c r="Y60" s="51"/>
      <c r="Z60" s="51"/>
      <c r="AA60" s="51"/>
      <c r="AB60" s="51"/>
      <c r="AC60" s="52"/>
      <c r="AL60" s="9">
        <v>58</v>
      </c>
      <c r="AM60" s="43"/>
      <c r="AN60" s="55"/>
      <c r="AO60" s="34"/>
      <c r="AP60" s="34"/>
      <c r="AQ60" s="34"/>
      <c r="AR60" s="34"/>
      <c r="AS60" s="51"/>
      <c r="AT60" s="51"/>
      <c r="AU60" s="51"/>
      <c r="AV60" s="51"/>
      <c r="AW60" s="51"/>
      <c r="AX60" s="51"/>
      <c r="AY60" s="51"/>
      <c r="AZ60" s="51"/>
      <c r="BA60" s="52"/>
      <c r="BJ60" s="9">
        <v>58</v>
      </c>
      <c r="BK60" s="43"/>
      <c r="BL60" s="55"/>
      <c r="BM60" s="34"/>
      <c r="BN60" s="34"/>
      <c r="BO60" s="34"/>
      <c r="BP60" s="34"/>
      <c r="BQ60" s="51"/>
      <c r="BR60" s="51"/>
      <c r="BS60" s="51"/>
      <c r="BT60" s="51"/>
      <c r="BU60" s="51"/>
      <c r="BV60" s="51"/>
      <c r="BW60" s="51"/>
      <c r="BX60" s="51"/>
      <c r="BY60" s="52"/>
      <c r="CH60" s="9">
        <v>58</v>
      </c>
    </row>
    <row r="61" spans="1:86" x14ac:dyDescent="0.15">
      <c r="A61" s="10">
        <f t="shared" si="1"/>
        <v>59</v>
      </c>
      <c r="B61" t="s">
        <v>271</v>
      </c>
      <c r="C61" t="s">
        <v>271</v>
      </c>
      <c r="D61" s="10"/>
      <c r="E61" s="10"/>
      <c r="F61" s="10"/>
      <c r="G61" s="10"/>
      <c r="H61" t="s">
        <v>269</v>
      </c>
      <c r="N61" s="9">
        <v>59</v>
      </c>
      <c r="O61" s="43"/>
      <c r="P61" s="55"/>
      <c r="Q61" s="34"/>
      <c r="R61" s="34"/>
      <c r="S61" s="34"/>
      <c r="T61" s="34"/>
      <c r="U61" s="51"/>
      <c r="V61" s="51"/>
      <c r="W61" s="51"/>
      <c r="X61" s="51"/>
      <c r="Y61" s="51"/>
      <c r="Z61" s="51"/>
      <c r="AA61" s="51"/>
      <c r="AB61" s="51"/>
      <c r="AC61" s="52"/>
      <c r="AL61" s="9">
        <v>59</v>
      </c>
      <c r="AM61" s="43"/>
      <c r="AN61" s="55"/>
      <c r="AO61" s="34"/>
      <c r="AP61" s="34"/>
      <c r="AQ61" s="34"/>
      <c r="AR61" s="34"/>
      <c r="AS61" s="51"/>
      <c r="AT61" s="51"/>
      <c r="AU61" s="51"/>
      <c r="AV61" s="51"/>
      <c r="AW61" s="51"/>
      <c r="AX61" s="51"/>
      <c r="AY61" s="51"/>
      <c r="AZ61" s="51"/>
      <c r="BA61" s="52"/>
      <c r="BJ61" s="9">
        <v>59</v>
      </c>
      <c r="BK61" s="43"/>
      <c r="BL61" s="55"/>
      <c r="BM61" s="34"/>
      <c r="BN61" s="34"/>
      <c r="BO61" s="34"/>
      <c r="BP61" s="34"/>
      <c r="BQ61" s="51"/>
      <c r="BR61" s="51"/>
      <c r="BS61" s="51"/>
      <c r="BT61" s="51"/>
      <c r="BU61" s="51"/>
      <c r="BV61" s="51"/>
      <c r="BW61" s="51"/>
      <c r="BX61" s="51"/>
      <c r="BY61" s="52"/>
      <c r="CH61" s="9">
        <v>59</v>
      </c>
    </row>
    <row r="62" spans="1:86" x14ac:dyDescent="0.15">
      <c r="A62" s="10">
        <f t="shared" si="1"/>
        <v>60</v>
      </c>
      <c r="B62" t="s">
        <v>271</v>
      </c>
      <c r="C62" t="s">
        <v>271</v>
      </c>
      <c r="D62" s="10"/>
      <c r="E62" s="10"/>
      <c r="F62" s="10"/>
      <c r="G62" s="10"/>
      <c r="H62" t="s">
        <v>269</v>
      </c>
      <c r="N62" s="9">
        <v>60</v>
      </c>
      <c r="O62" s="43"/>
      <c r="P62" s="55"/>
      <c r="Q62" s="34"/>
      <c r="R62" s="34"/>
      <c r="S62" s="34"/>
      <c r="T62" s="34"/>
      <c r="U62" s="51"/>
      <c r="V62" s="51"/>
      <c r="W62" s="51"/>
      <c r="X62" s="51"/>
      <c r="Y62" s="51"/>
      <c r="Z62" s="51"/>
      <c r="AA62" s="51"/>
      <c r="AB62" s="51"/>
      <c r="AC62" s="52"/>
      <c r="AL62" s="9">
        <v>60</v>
      </c>
      <c r="AM62" s="43"/>
      <c r="AN62" s="55"/>
      <c r="AO62" s="34"/>
      <c r="AP62" s="34"/>
      <c r="AQ62" s="34"/>
      <c r="AR62" s="34"/>
      <c r="AS62" s="51"/>
      <c r="AT62" s="51"/>
      <c r="AU62" s="51"/>
      <c r="AV62" s="51"/>
      <c r="AW62" s="51"/>
      <c r="AX62" s="51"/>
      <c r="AY62" s="51"/>
      <c r="AZ62" s="51"/>
      <c r="BA62" s="52"/>
      <c r="BJ62" s="9">
        <v>60</v>
      </c>
      <c r="BK62" s="43"/>
      <c r="BL62" s="55"/>
      <c r="BM62" s="34"/>
      <c r="BN62" s="34"/>
      <c r="BO62" s="34"/>
      <c r="BP62" s="34"/>
      <c r="BQ62" s="51"/>
      <c r="BR62" s="51"/>
      <c r="BS62" s="51"/>
      <c r="BT62" s="51"/>
      <c r="BU62" s="51"/>
      <c r="BV62" s="51"/>
      <c r="BW62" s="51"/>
      <c r="BX62" s="51"/>
      <c r="BY62" s="52"/>
      <c r="CH62" s="9">
        <v>60</v>
      </c>
    </row>
    <row r="63" spans="1:86" x14ac:dyDescent="0.15">
      <c r="A63" s="10">
        <f t="shared" si="1"/>
        <v>61</v>
      </c>
      <c r="B63" t="s">
        <v>271</v>
      </c>
      <c r="C63" t="s">
        <v>271</v>
      </c>
      <c r="D63" s="10"/>
      <c r="E63" s="10"/>
      <c r="F63" s="10"/>
      <c r="G63" s="10"/>
      <c r="H63" t="s">
        <v>269</v>
      </c>
      <c r="N63" s="9">
        <v>61</v>
      </c>
      <c r="O63" s="43"/>
      <c r="P63" s="55"/>
      <c r="Q63" s="34"/>
      <c r="R63" s="34"/>
      <c r="S63" s="34"/>
      <c r="T63" s="34"/>
      <c r="U63" s="51"/>
      <c r="V63" s="51"/>
      <c r="W63" s="51"/>
      <c r="X63" s="51"/>
      <c r="Y63" s="51"/>
      <c r="Z63" s="51"/>
      <c r="AA63" s="51"/>
      <c r="AB63" s="51"/>
      <c r="AC63" s="52"/>
      <c r="AL63" s="9">
        <v>61</v>
      </c>
      <c r="AM63" s="43"/>
      <c r="AN63" s="55"/>
      <c r="AO63" s="34"/>
      <c r="AP63" s="34"/>
      <c r="AQ63" s="34"/>
      <c r="AR63" s="34"/>
      <c r="AS63" s="51"/>
      <c r="AT63" s="51"/>
      <c r="AU63" s="51"/>
      <c r="AV63" s="51"/>
      <c r="AW63" s="51"/>
      <c r="AX63" s="51"/>
      <c r="AY63" s="51"/>
      <c r="AZ63" s="51"/>
      <c r="BA63" s="52"/>
      <c r="BJ63" s="9">
        <v>61</v>
      </c>
      <c r="BK63" s="43"/>
      <c r="BL63" s="55"/>
      <c r="BM63" s="34"/>
      <c r="BN63" s="34"/>
      <c r="BO63" s="34"/>
      <c r="BP63" s="34"/>
      <c r="BQ63" s="51"/>
      <c r="BR63" s="51"/>
      <c r="BS63" s="51"/>
      <c r="BT63" s="51"/>
      <c r="BU63" s="51"/>
      <c r="BV63" s="51"/>
      <c r="BW63" s="51"/>
      <c r="BX63" s="51"/>
      <c r="BY63" s="52"/>
      <c r="CH63" s="9">
        <v>61</v>
      </c>
    </row>
    <row r="64" spans="1:86" x14ac:dyDescent="0.15">
      <c r="A64" s="10">
        <f t="shared" si="1"/>
        <v>62</v>
      </c>
      <c r="B64" t="s">
        <v>271</v>
      </c>
      <c r="C64" t="s">
        <v>271</v>
      </c>
      <c r="D64" s="10"/>
      <c r="E64" s="10"/>
      <c r="F64" s="10"/>
      <c r="G64" s="10"/>
      <c r="H64" t="s">
        <v>269</v>
      </c>
      <c r="N64" s="9">
        <v>62</v>
      </c>
      <c r="O64" s="43"/>
      <c r="P64" s="55"/>
      <c r="Q64" s="34"/>
      <c r="R64" s="34"/>
      <c r="S64" s="34"/>
      <c r="T64" s="34"/>
      <c r="U64" s="51"/>
      <c r="V64" s="51"/>
      <c r="W64" s="51"/>
      <c r="X64" s="51"/>
      <c r="Y64" s="51"/>
      <c r="Z64" s="51"/>
      <c r="AA64" s="51"/>
      <c r="AB64" s="51"/>
      <c r="AC64" s="52"/>
      <c r="AL64" s="9">
        <v>62</v>
      </c>
      <c r="AM64" s="43"/>
      <c r="AN64" s="55"/>
      <c r="AO64" s="34"/>
      <c r="AP64" s="34"/>
      <c r="AQ64" s="34"/>
      <c r="AR64" s="34"/>
      <c r="AS64" s="51"/>
      <c r="AT64" s="51"/>
      <c r="AU64" s="51"/>
      <c r="AV64" s="51"/>
      <c r="AW64" s="51"/>
      <c r="AX64" s="51"/>
      <c r="AY64" s="51"/>
      <c r="AZ64" s="51"/>
      <c r="BA64" s="52"/>
      <c r="BJ64" s="9">
        <v>62</v>
      </c>
      <c r="BK64" s="43"/>
      <c r="BL64" s="55"/>
      <c r="BM64" s="34"/>
      <c r="BN64" s="34"/>
      <c r="BO64" s="34"/>
      <c r="BP64" s="34"/>
      <c r="BQ64" s="51"/>
      <c r="BR64" s="51"/>
      <c r="BS64" s="51"/>
      <c r="BT64" s="51"/>
      <c r="BU64" s="51"/>
      <c r="BV64" s="51"/>
      <c r="BW64" s="51"/>
      <c r="BX64" s="51"/>
      <c r="BY64" s="52"/>
      <c r="CH64" s="9">
        <v>62</v>
      </c>
    </row>
    <row r="65" spans="1:86" x14ac:dyDescent="0.15">
      <c r="A65" s="10">
        <f t="shared" si="1"/>
        <v>63</v>
      </c>
      <c r="B65" t="s">
        <v>271</v>
      </c>
      <c r="C65" t="s">
        <v>271</v>
      </c>
      <c r="D65" s="10"/>
      <c r="E65" s="10"/>
      <c r="F65" s="10"/>
      <c r="G65" s="10"/>
      <c r="H65" t="s">
        <v>269</v>
      </c>
      <c r="N65" s="9">
        <v>63</v>
      </c>
      <c r="O65" s="43"/>
      <c r="P65" s="55"/>
      <c r="Q65" s="34"/>
      <c r="R65" s="34"/>
      <c r="S65" s="34"/>
      <c r="T65" s="34"/>
      <c r="U65" s="51"/>
      <c r="V65" s="51"/>
      <c r="W65" s="51"/>
      <c r="X65" s="51"/>
      <c r="Y65" s="51"/>
      <c r="Z65" s="51"/>
      <c r="AA65" s="51"/>
      <c r="AB65" s="51"/>
      <c r="AC65" s="52"/>
      <c r="AL65" s="9">
        <v>63</v>
      </c>
      <c r="AM65" s="43"/>
      <c r="AN65" s="55"/>
      <c r="AO65" s="34"/>
      <c r="AP65" s="34"/>
      <c r="AQ65" s="34"/>
      <c r="AR65" s="34"/>
      <c r="AS65" s="51"/>
      <c r="AT65" s="51"/>
      <c r="AU65" s="51"/>
      <c r="AV65" s="51"/>
      <c r="AW65" s="51"/>
      <c r="AX65" s="51"/>
      <c r="AY65" s="51"/>
      <c r="AZ65" s="51"/>
      <c r="BA65" s="52"/>
      <c r="BJ65" s="9">
        <v>63</v>
      </c>
      <c r="BK65" s="43"/>
      <c r="BL65" s="55"/>
      <c r="BM65" s="34"/>
      <c r="BN65" s="34"/>
      <c r="BO65" s="34"/>
      <c r="BP65" s="34"/>
      <c r="BQ65" s="51"/>
      <c r="BR65" s="51"/>
      <c r="BS65" s="51"/>
      <c r="BT65" s="51"/>
      <c r="BU65" s="51"/>
      <c r="BV65" s="51"/>
      <c r="BW65" s="51"/>
      <c r="BX65" s="51"/>
      <c r="BY65" s="52"/>
      <c r="CH65" s="9">
        <v>63</v>
      </c>
    </row>
    <row r="66" spans="1:86" x14ac:dyDescent="0.15">
      <c r="A66" s="10">
        <f t="shared" si="1"/>
        <v>64</v>
      </c>
      <c r="B66" t="s">
        <v>271</v>
      </c>
      <c r="C66" t="s">
        <v>271</v>
      </c>
      <c r="D66" s="10"/>
      <c r="E66" s="10"/>
      <c r="F66" s="10"/>
      <c r="G66" s="10"/>
      <c r="H66" t="s">
        <v>269</v>
      </c>
      <c r="N66" s="9">
        <v>64</v>
      </c>
      <c r="O66" s="43"/>
      <c r="P66" s="55"/>
      <c r="Q66" s="34"/>
      <c r="R66" s="34"/>
      <c r="S66" s="34"/>
      <c r="T66" s="34"/>
      <c r="U66" s="51"/>
      <c r="V66" s="51"/>
      <c r="W66" s="51"/>
      <c r="X66" s="51"/>
      <c r="Y66" s="51"/>
      <c r="Z66" s="51"/>
      <c r="AA66" s="51"/>
      <c r="AB66" s="51"/>
      <c r="AC66" s="52"/>
      <c r="AL66" s="9">
        <v>64</v>
      </c>
      <c r="AM66" s="43"/>
      <c r="AN66" s="55"/>
      <c r="AO66" s="34"/>
      <c r="AP66" s="34"/>
      <c r="AQ66" s="34"/>
      <c r="AR66" s="34"/>
      <c r="AS66" s="51"/>
      <c r="AT66" s="51"/>
      <c r="AU66" s="51"/>
      <c r="AV66" s="51"/>
      <c r="AW66" s="51"/>
      <c r="AX66" s="51"/>
      <c r="AY66" s="51"/>
      <c r="AZ66" s="51"/>
      <c r="BA66" s="52"/>
      <c r="BJ66" s="9">
        <v>64</v>
      </c>
      <c r="BK66" s="43"/>
      <c r="BL66" s="55"/>
      <c r="BM66" s="34"/>
      <c r="BN66" s="34"/>
      <c r="BO66" s="34"/>
      <c r="BP66" s="34"/>
      <c r="BQ66" s="51"/>
      <c r="BR66" s="51"/>
      <c r="BS66" s="51"/>
      <c r="BT66" s="51"/>
      <c r="BU66" s="51"/>
      <c r="BV66" s="51"/>
      <c r="BW66" s="51"/>
      <c r="BX66" s="51"/>
      <c r="BY66" s="52"/>
      <c r="CH66" s="9">
        <v>64</v>
      </c>
    </row>
    <row r="67" spans="1:86" x14ac:dyDescent="0.15">
      <c r="A67" s="10">
        <f t="shared" ref="A67:A102" si="2">ROW() - 2</f>
        <v>65</v>
      </c>
      <c r="B67" t="s">
        <v>271</v>
      </c>
      <c r="C67" t="s">
        <v>271</v>
      </c>
      <c r="D67" s="10"/>
      <c r="E67" s="10"/>
      <c r="F67" s="10"/>
      <c r="G67" s="10"/>
      <c r="H67" t="s">
        <v>269</v>
      </c>
      <c r="N67" s="9">
        <v>65</v>
      </c>
      <c r="O67" s="43"/>
      <c r="P67" s="55"/>
      <c r="Q67" s="34"/>
      <c r="R67" s="34"/>
      <c r="S67" s="34"/>
      <c r="T67" s="34"/>
      <c r="U67" s="51"/>
      <c r="V67" s="51"/>
      <c r="W67" s="51"/>
      <c r="X67" s="51"/>
      <c r="Y67" s="51"/>
      <c r="Z67" s="51"/>
      <c r="AA67" s="51"/>
      <c r="AB67" s="51"/>
      <c r="AC67" s="52"/>
      <c r="AL67" s="9">
        <v>65</v>
      </c>
      <c r="AM67" s="43"/>
      <c r="AN67" s="55"/>
      <c r="AO67" s="34"/>
      <c r="AP67" s="34"/>
      <c r="AQ67" s="34"/>
      <c r="AR67" s="34"/>
      <c r="AS67" s="51"/>
      <c r="AT67" s="51"/>
      <c r="AU67" s="51"/>
      <c r="AV67" s="51"/>
      <c r="AW67" s="51"/>
      <c r="AX67" s="51"/>
      <c r="AY67" s="51"/>
      <c r="AZ67" s="51"/>
      <c r="BA67" s="52"/>
      <c r="BJ67" s="9">
        <v>65</v>
      </c>
      <c r="BK67" s="43"/>
      <c r="BL67" s="55"/>
      <c r="BM67" s="34"/>
      <c r="BN67" s="34"/>
      <c r="BO67" s="34"/>
      <c r="BP67" s="34"/>
      <c r="BQ67" s="51"/>
      <c r="BR67" s="51"/>
      <c r="BS67" s="51"/>
      <c r="BT67" s="51"/>
      <c r="BU67" s="51"/>
      <c r="BV67" s="51"/>
      <c r="BW67" s="51"/>
      <c r="BX67" s="51"/>
      <c r="BY67" s="52"/>
      <c r="CH67" s="9">
        <v>65</v>
      </c>
    </row>
    <row r="68" spans="1:86" x14ac:dyDescent="0.15">
      <c r="A68" s="10">
        <f t="shared" si="2"/>
        <v>66</v>
      </c>
      <c r="B68" t="s">
        <v>271</v>
      </c>
      <c r="C68" t="s">
        <v>271</v>
      </c>
      <c r="D68" s="10"/>
      <c r="E68" s="10"/>
      <c r="F68" s="10"/>
      <c r="G68" s="10"/>
      <c r="H68" t="s">
        <v>269</v>
      </c>
      <c r="N68" s="9">
        <v>66</v>
      </c>
      <c r="O68" s="43"/>
      <c r="P68" s="55"/>
      <c r="Q68" s="34"/>
      <c r="R68" s="34"/>
      <c r="S68" s="34"/>
      <c r="T68" s="34"/>
      <c r="U68" s="51"/>
      <c r="V68" s="51"/>
      <c r="W68" s="51"/>
      <c r="X68" s="51"/>
      <c r="Y68" s="51"/>
      <c r="Z68" s="51"/>
      <c r="AA68" s="51"/>
      <c r="AB68" s="51"/>
      <c r="AC68" s="52"/>
      <c r="AL68" s="9">
        <v>66</v>
      </c>
      <c r="AM68" s="43"/>
      <c r="AN68" s="55"/>
      <c r="AO68" s="34"/>
      <c r="AP68" s="34"/>
      <c r="AQ68" s="34"/>
      <c r="AR68" s="34"/>
      <c r="AS68" s="51"/>
      <c r="AT68" s="51"/>
      <c r="AU68" s="51"/>
      <c r="AV68" s="51"/>
      <c r="AW68" s="51"/>
      <c r="AX68" s="51"/>
      <c r="AY68" s="51"/>
      <c r="AZ68" s="51"/>
      <c r="BA68" s="52"/>
      <c r="BJ68" s="9">
        <v>66</v>
      </c>
      <c r="BK68" s="43"/>
      <c r="BL68" s="55"/>
      <c r="BM68" s="34"/>
      <c r="BN68" s="34"/>
      <c r="BO68" s="34"/>
      <c r="BP68" s="34"/>
      <c r="BQ68" s="51"/>
      <c r="BR68" s="51"/>
      <c r="BS68" s="51"/>
      <c r="BT68" s="51"/>
      <c r="BU68" s="51"/>
      <c r="BV68" s="51"/>
      <c r="BW68" s="51"/>
      <c r="BX68" s="51"/>
      <c r="BY68" s="52"/>
      <c r="CH68" s="9">
        <v>66</v>
      </c>
    </row>
    <row r="69" spans="1:86" x14ac:dyDescent="0.15">
      <c r="A69" s="10">
        <f t="shared" si="2"/>
        <v>67</v>
      </c>
      <c r="B69" t="s">
        <v>271</v>
      </c>
      <c r="C69" t="s">
        <v>271</v>
      </c>
      <c r="D69" s="10"/>
      <c r="E69" s="10"/>
      <c r="F69" s="10"/>
      <c r="G69" s="10"/>
      <c r="H69" t="s">
        <v>269</v>
      </c>
      <c r="N69" s="9">
        <v>67</v>
      </c>
      <c r="O69" s="43"/>
      <c r="P69" s="55"/>
      <c r="Q69" s="34"/>
      <c r="R69" s="34"/>
      <c r="S69" s="34"/>
      <c r="T69" s="34"/>
      <c r="U69" s="51"/>
      <c r="V69" s="51"/>
      <c r="W69" s="51"/>
      <c r="X69" s="51"/>
      <c r="Y69" s="51"/>
      <c r="Z69" s="51"/>
      <c r="AA69" s="51"/>
      <c r="AB69" s="51"/>
      <c r="AC69" s="52"/>
      <c r="AL69" s="9">
        <v>67</v>
      </c>
      <c r="AM69" s="43"/>
      <c r="AN69" s="55"/>
      <c r="AO69" s="34"/>
      <c r="AP69" s="34"/>
      <c r="AQ69" s="34"/>
      <c r="AR69" s="34"/>
      <c r="AS69" s="51"/>
      <c r="AT69" s="51"/>
      <c r="AU69" s="51"/>
      <c r="AV69" s="51"/>
      <c r="AW69" s="51"/>
      <c r="AX69" s="51"/>
      <c r="AY69" s="51"/>
      <c r="AZ69" s="51"/>
      <c r="BA69" s="52"/>
      <c r="BJ69" s="9">
        <v>67</v>
      </c>
      <c r="BK69" s="43"/>
      <c r="BL69" s="55"/>
      <c r="BM69" s="34"/>
      <c r="BN69" s="34"/>
      <c r="BO69" s="34"/>
      <c r="BP69" s="34"/>
      <c r="BQ69" s="51"/>
      <c r="BR69" s="51"/>
      <c r="BS69" s="51"/>
      <c r="BT69" s="51"/>
      <c r="BU69" s="51"/>
      <c r="BV69" s="51"/>
      <c r="BW69" s="51"/>
      <c r="BX69" s="51"/>
      <c r="BY69" s="52"/>
      <c r="CH69" s="9">
        <v>67</v>
      </c>
    </row>
    <row r="70" spans="1:86" x14ac:dyDescent="0.15">
      <c r="A70" s="10">
        <f t="shared" si="2"/>
        <v>68</v>
      </c>
      <c r="B70" t="s">
        <v>271</v>
      </c>
      <c r="C70" t="s">
        <v>271</v>
      </c>
      <c r="D70" s="10"/>
      <c r="E70" s="10"/>
      <c r="F70" s="10"/>
      <c r="G70" s="10"/>
      <c r="H70" t="s">
        <v>269</v>
      </c>
      <c r="N70" s="9">
        <v>68</v>
      </c>
      <c r="O70" s="43"/>
      <c r="P70" s="55"/>
      <c r="Q70" s="34"/>
      <c r="R70" s="34"/>
      <c r="S70" s="34"/>
      <c r="T70" s="34"/>
      <c r="U70" s="51"/>
      <c r="V70" s="51"/>
      <c r="W70" s="51"/>
      <c r="X70" s="51"/>
      <c r="Y70" s="51"/>
      <c r="Z70" s="51"/>
      <c r="AA70" s="51"/>
      <c r="AB70" s="51"/>
      <c r="AC70" s="52"/>
      <c r="AL70" s="9">
        <v>68</v>
      </c>
      <c r="AM70" s="43"/>
      <c r="AN70" s="55"/>
      <c r="AO70" s="34"/>
      <c r="AP70" s="34"/>
      <c r="AQ70" s="34"/>
      <c r="AR70" s="34"/>
      <c r="AS70" s="51"/>
      <c r="AT70" s="51"/>
      <c r="AU70" s="51"/>
      <c r="AV70" s="51"/>
      <c r="AW70" s="51"/>
      <c r="AX70" s="51"/>
      <c r="AY70" s="51"/>
      <c r="AZ70" s="51"/>
      <c r="BA70" s="52"/>
      <c r="BJ70" s="9">
        <v>68</v>
      </c>
      <c r="BK70" s="43"/>
      <c r="BL70" s="55"/>
      <c r="BM70" s="34"/>
      <c r="BN70" s="34"/>
      <c r="BO70" s="34"/>
      <c r="BP70" s="34"/>
      <c r="BQ70" s="51"/>
      <c r="BR70" s="51"/>
      <c r="BS70" s="51"/>
      <c r="BT70" s="51"/>
      <c r="BU70" s="51"/>
      <c r="BV70" s="51"/>
      <c r="BW70" s="51"/>
      <c r="BX70" s="51"/>
      <c r="BY70" s="52"/>
      <c r="CH70" s="9">
        <v>68</v>
      </c>
    </row>
    <row r="71" spans="1:86" x14ac:dyDescent="0.15">
      <c r="A71" s="10">
        <f t="shared" si="2"/>
        <v>69</v>
      </c>
      <c r="B71" t="s">
        <v>271</v>
      </c>
      <c r="C71" t="s">
        <v>271</v>
      </c>
      <c r="D71" s="10"/>
      <c r="E71" s="10"/>
      <c r="F71" s="10"/>
      <c r="G71" s="10"/>
      <c r="H71" t="s">
        <v>269</v>
      </c>
      <c r="N71" s="9">
        <v>69</v>
      </c>
      <c r="O71" s="43"/>
      <c r="P71" s="55"/>
      <c r="Q71" s="34"/>
      <c r="R71" s="34"/>
      <c r="S71" s="34"/>
      <c r="T71" s="34"/>
      <c r="U71" s="51"/>
      <c r="V71" s="51"/>
      <c r="W71" s="51"/>
      <c r="X71" s="51"/>
      <c r="Y71" s="51"/>
      <c r="Z71" s="51"/>
      <c r="AA71" s="51"/>
      <c r="AB71" s="51"/>
      <c r="AC71" s="52"/>
      <c r="AL71" s="9">
        <v>69</v>
      </c>
      <c r="AM71" s="43"/>
      <c r="AN71" s="55"/>
      <c r="AO71" s="34"/>
      <c r="AP71" s="34"/>
      <c r="AQ71" s="34"/>
      <c r="AR71" s="34"/>
      <c r="AS71" s="51"/>
      <c r="AT71" s="51"/>
      <c r="AU71" s="51"/>
      <c r="AV71" s="51"/>
      <c r="AW71" s="51"/>
      <c r="AX71" s="51"/>
      <c r="AY71" s="51"/>
      <c r="AZ71" s="51"/>
      <c r="BA71" s="52"/>
      <c r="BJ71" s="9">
        <v>69</v>
      </c>
      <c r="BK71" s="43"/>
      <c r="BL71" s="55"/>
      <c r="BM71" s="34"/>
      <c r="BN71" s="34"/>
      <c r="BO71" s="34"/>
      <c r="BP71" s="34"/>
      <c r="BQ71" s="51"/>
      <c r="BR71" s="51"/>
      <c r="BS71" s="51"/>
      <c r="BT71" s="51"/>
      <c r="BU71" s="51"/>
      <c r="BV71" s="51"/>
      <c r="BW71" s="51"/>
      <c r="BX71" s="51"/>
      <c r="BY71" s="52"/>
      <c r="CH71" s="9">
        <v>69</v>
      </c>
    </row>
    <row r="72" spans="1:86" x14ac:dyDescent="0.15">
      <c r="A72" s="10">
        <f t="shared" si="2"/>
        <v>70</v>
      </c>
      <c r="B72" t="s">
        <v>271</v>
      </c>
      <c r="C72" t="s">
        <v>271</v>
      </c>
      <c r="D72" s="10"/>
      <c r="E72" s="10"/>
      <c r="F72" s="10"/>
      <c r="G72" s="10"/>
      <c r="H72" t="s">
        <v>269</v>
      </c>
      <c r="N72" s="9">
        <v>70</v>
      </c>
      <c r="O72" s="43"/>
      <c r="P72" s="55"/>
      <c r="Q72" s="34"/>
      <c r="R72" s="34"/>
      <c r="S72" s="34"/>
      <c r="T72" s="34"/>
      <c r="U72" s="51"/>
      <c r="V72" s="51"/>
      <c r="W72" s="51"/>
      <c r="X72" s="51"/>
      <c r="Y72" s="51"/>
      <c r="Z72" s="51"/>
      <c r="AA72" s="51"/>
      <c r="AB72" s="51"/>
      <c r="AC72" s="52"/>
      <c r="AL72" s="9">
        <v>70</v>
      </c>
      <c r="AM72" s="43"/>
      <c r="AN72" s="55"/>
      <c r="AO72" s="34"/>
      <c r="AP72" s="34"/>
      <c r="AQ72" s="34"/>
      <c r="AR72" s="34"/>
      <c r="AS72" s="51"/>
      <c r="AT72" s="51"/>
      <c r="AU72" s="51"/>
      <c r="AV72" s="51"/>
      <c r="AW72" s="51"/>
      <c r="AX72" s="51"/>
      <c r="AY72" s="51"/>
      <c r="AZ72" s="51"/>
      <c r="BA72" s="52"/>
      <c r="BJ72" s="9">
        <v>70</v>
      </c>
      <c r="BK72" s="43"/>
      <c r="BL72" s="55"/>
      <c r="BM72" s="34"/>
      <c r="BN72" s="34"/>
      <c r="BO72" s="34"/>
      <c r="BP72" s="34"/>
      <c r="BQ72" s="51"/>
      <c r="BR72" s="51"/>
      <c r="BS72" s="51"/>
      <c r="BT72" s="51"/>
      <c r="BU72" s="51"/>
      <c r="BV72" s="51"/>
      <c r="BW72" s="51"/>
      <c r="BX72" s="51"/>
      <c r="BY72" s="52"/>
      <c r="CH72" s="9">
        <v>70</v>
      </c>
    </row>
    <row r="73" spans="1:86" x14ac:dyDescent="0.15">
      <c r="A73" s="10">
        <f t="shared" si="2"/>
        <v>71</v>
      </c>
      <c r="B73" t="s">
        <v>271</v>
      </c>
      <c r="C73" t="s">
        <v>271</v>
      </c>
      <c r="D73" s="10"/>
      <c r="E73" s="10"/>
      <c r="F73" s="10"/>
      <c r="G73" s="10"/>
      <c r="H73" t="s">
        <v>269</v>
      </c>
      <c r="N73" s="9">
        <v>71</v>
      </c>
      <c r="O73" s="43"/>
      <c r="P73" s="55"/>
      <c r="Q73" s="34"/>
      <c r="R73" s="34"/>
      <c r="S73" s="34"/>
      <c r="T73" s="34"/>
      <c r="U73" s="51"/>
      <c r="V73" s="51"/>
      <c r="W73" s="51"/>
      <c r="X73" s="51"/>
      <c r="Y73" s="51"/>
      <c r="Z73" s="51"/>
      <c r="AA73" s="51"/>
      <c r="AB73" s="51"/>
      <c r="AC73" s="52"/>
      <c r="AL73" s="9">
        <v>71</v>
      </c>
      <c r="AM73" s="43"/>
      <c r="AN73" s="55"/>
      <c r="AO73" s="34"/>
      <c r="AP73" s="34"/>
      <c r="AQ73" s="34"/>
      <c r="AR73" s="34"/>
      <c r="AS73" s="51"/>
      <c r="AT73" s="51"/>
      <c r="AU73" s="51"/>
      <c r="AV73" s="51"/>
      <c r="AW73" s="51"/>
      <c r="AX73" s="51"/>
      <c r="AY73" s="51"/>
      <c r="AZ73" s="51"/>
      <c r="BA73" s="52"/>
      <c r="BJ73" s="9">
        <v>71</v>
      </c>
      <c r="BK73" s="43"/>
      <c r="BL73" s="55"/>
      <c r="BM73" s="34"/>
      <c r="BN73" s="34"/>
      <c r="BO73" s="34"/>
      <c r="BP73" s="34"/>
      <c r="BQ73" s="51"/>
      <c r="BR73" s="51"/>
      <c r="BS73" s="51"/>
      <c r="BT73" s="51"/>
      <c r="BU73" s="51"/>
      <c r="BV73" s="51"/>
      <c r="BW73" s="51"/>
      <c r="BX73" s="51"/>
      <c r="BY73" s="52"/>
      <c r="CH73" s="9">
        <v>71</v>
      </c>
    </row>
    <row r="74" spans="1:86" x14ac:dyDescent="0.15">
      <c r="A74" s="10">
        <f t="shared" si="2"/>
        <v>72</v>
      </c>
      <c r="B74" t="s">
        <v>271</v>
      </c>
      <c r="C74" t="s">
        <v>271</v>
      </c>
      <c r="D74" s="10"/>
      <c r="E74" s="10"/>
      <c r="F74" s="10"/>
      <c r="G74" s="10"/>
      <c r="H74" t="s">
        <v>269</v>
      </c>
      <c r="N74" s="9">
        <v>72</v>
      </c>
      <c r="O74" s="43"/>
      <c r="P74" s="55"/>
      <c r="Q74" s="34"/>
      <c r="R74" s="34"/>
      <c r="S74" s="34"/>
      <c r="T74" s="34"/>
      <c r="U74" s="51"/>
      <c r="V74" s="51"/>
      <c r="W74" s="51"/>
      <c r="X74" s="51"/>
      <c r="Y74" s="51"/>
      <c r="Z74" s="51"/>
      <c r="AA74" s="51"/>
      <c r="AB74" s="51"/>
      <c r="AC74" s="52"/>
      <c r="AL74" s="9">
        <v>72</v>
      </c>
      <c r="AM74" s="43"/>
      <c r="AN74" s="55"/>
      <c r="AO74" s="34"/>
      <c r="AP74" s="34"/>
      <c r="AQ74" s="34"/>
      <c r="AR74" s="34"/>
      <c r="AS74" s="51"/>
      <c r="AT74" s="51"/>
      <c r="AU74" s="51"/>
      <c r="AV74" s="51"/>
      <c r="AW74" s="51"/>
      <c r="AX74" s="51"/>
      <c r="AY74" s="51"/>
      <c r="AZ74" s="51"/>
      <c r="BA74" s="52"/>
      <c r="BJ74" s="9">
        <v>72</v>
      </c>
      <c r="BK74" s="43"/>
      <c r="BL74" s="55"/>
      <c r="BM74" s="34"/>
      <c r="BN74" s="34"/>
      <c r="BO74" s="34"/>
      <c r="BP74" s="34"/>
      <c r="BQ74" s="51"/>
      <c r="BR74" s="51"/>
      <c r="BS74" s="51"/>
      <c r="BT74" s="51"/>
      <c r="BU74" s="51"/>
      <c r="BV74" s="51"/>
      <c r="BW74" s="51"/>
      <c r="BX74" s="51"/>
      <c r="BY74" s="52"/>
      <c r="CH74" s="9">
        <v>72</v>
      </c>
    </row>
    <row r="75" spans="1:86" x14ac:dyDescent="0.15">
      <c r="A75" s="10">
        <f t="shared" si="2"/>
        <v>73</v>
      </c>
      <c r="B75" t="s">
        <v>271</v>
      </c>
      <c r="C75" t="s">
        <v>271</v>
      </c>
      <c r="D75" s="10"/>
      <c r="E75" s="10"/>
      <c r="F75" s="10"/>
      <c r="G75" s="10"/>
      <c r="H75" t="s">
        <v>269</v>
      </c>
      <c r="N75" s="9">
        <v>73</v>
      </c>
      <c r="O75" s="43"/>
      <c r="P75" s="55"/>
      <c r="Q75" s="34"/>
      <c r="R75" s="34"/>
      <c r="S75" s="34"/>
      <c r="T75" s="34"/>
      <c r="U75" s="51"/>
      <c r="V75" s="51"/>
      <c r="W75" s="51"/>
      <c r="X75" s="51"/>
      <c r="Y75" s="51"/>
      <c r="Z75" s="51"/>
      <c r="AA75" s="51"/>
      <c r="AB75" s="51"/>
      <c r="AC75" s="52"/>
      <c r="AL75" s="9">
        <v>73</v>
      </c>
      <c r="AM75" s="43"/>
      <c r="AN75" s="55"/>
      <c r="AO75" s="34"/>
      <c r="AP75" s="34"/>
      <c r="AQ75" s="34"/>
      <c r="AR75" s="34"/>
      <c r="AS75" s="51"/>
      <c r="AT75" s="51"/>
      <c r="AU75" s="51"/>
      <c r="AV75" s="51"/>
      <c r="AW75" s="51"/>
      <c r="AX75" s="51"/>
      <c r="AY75" s="51"/>
      <c r="AZ75" s="51"/>
      <c r="BA75" s="52"/>
      <c r="BJ75" s="9">
        <v>73</v>
      </c>
      <c r="BK75" s="43"/>
      <c r="BL75" s="55"/>
      <c r="BM75" s="34"/>
      <c r="BN75" s="34"/>
      <c r="BO75" s="34"/>
      <c r="BP75" s="34"/>
      <c r="BQ75" s="51"/>
      <c r="BR75" s="51"/>
      <c r="BS75" s="51"/>
      <c r="BT75" s="51"/>
      <c r="BU75" s="51"/>
      <c r="BV75" s="51"/>
      <c r="BW75" s="51"/>
      <c r="BX75" s="51"/>
      <c r="BY75" s="52"/>
      <c r="CH75" s="9">
        <v>73</v>
      </c>
    </row>
    <row r="76" spans="1:86" x14ac:dyDescent="0.15">
      <c r="A76" s="10">
        <f t="shared" si="2"/>
        <v>74</v>
      </c>
      <c r="B76" t="s">
        <v>271</v>
      </c>
      <c r="C76" t="s">
        <v>271</v>
      </c>
      <c r="D76" s="10"/>
      <c r="E76" s="10"/>
      <c r="F76" s="10"/>
      <c r="G76" s="10"/>
      <c r="H76" t="s">
        <v>269</v>
      </c>
      <c r="N76" s="9">
        <v>74</v>
      </c>
      <c r="O76" s="43"/>
      <c r="P76" s="55"/>
      <c r="Q76" s="34"/>
      <c r="R76" s="34"/>
      <c r="S76" s="34"/>
      <c r="T76" s="34"/>
      <c r="U76" s="51"/>
      <c r="V76" s="51"/>
      <c r="W76" s="51"/>
      <c r="X76" s="51"/>
      <c r="Y76" s="51"/>
      <c r="Z76" s="51"/>
      <c r="AA76" s="51"/>
      <c r="AB76" s="51"/>
      <c r="AC76" s="52"/>
      <c r="AL76" s="9">
        <v>74</v>
      </c>
      <c r="AM76" s="43"/>
      <c r="AN76" s="55"/>
      <c r="AO76" s="34"/>
      <c r="AP76" s="34"/>
      <c r="AQ76" s="34"/>
      <c r="AR76" s="34"/>
      <c r="AS76" s="51"/>
      <c r="AT76" s="51"/>
      <c r="AU76" s="51"/>
      <c r="AV76" s="51"/>
      <c r="AW76" s="51"/>
      <c r="AX76" s="51"/>
      <c r="AY76" s="51"/>
      <c r="AZ76" s="51"/>
      <c r="BA76" s="52"/>
      <c r="BJ76" s="9">
        <v>74</v>
      </c>
      <c r="BK76" s="43"/>
      <c r="BL76" s="55"/>
      <c r="BM76" s="34"/>
      <c r="BN76" s="34"/>
      <c r="BO76" s="34"/>
      <c r="BP76" s="34"/>
      <c r="BQ76" s="51"/>
      <c r="BR76" s="51"/>
      <c r="BS76" s="51"/>
      <c r="BT76" s="51"/>
      <c r="BU76" s="51"/>
      <c r="BV76" s="51"/>
      <c r="BW76" s="51"/>
      <c r="BX76" s="51"/>
      <c r="BY76" s="52"/>
      <c r="CH76" s="9">
        <v>74</v>
      </c>
    </row>
    <row r="77" spans="1:86" x14ac:dyDescent="0.15">
      <c r="A77" s="10">
        <f t="shared" si="2"/>
        <v>75</v>
      </c>
      <c r="B77" t="s">
        <v>271</v>
      </c>
      <c r="C77" t="s">
        <v>271</v>
      </c>
      <c r="D77" s="10"/>
      <c r="E77" s="10"/>
      <c r="F77" s="10"/>
      <c r="G77" s="10"/>
      <c r="H77" t="s">
        <v>269</v>
      </c>
      <c r="N77" s="9">
        <v>75</v>
      </c>
      <c r="O77" s="43"/>
      <c r="P77" s="55"/>
      <c r="Q77" s="34"/>
      <c r="R77" s="34"/>
      <c r="S77" s="34"/>
      <c r="T77" s="34"/>
      <c r="U77" s="51"/>
      <c r="V77" s="51"/>
      <c r="W77" s="51"/>
      <c r="X77" s="51"/>
      <c r="Y77" s="51"/>
      <c r="Z77" s="51"/>
      <c r="AA77" s="51"/>
      <c r="AB77" s="51"/>
      <c r="AC77" s="52"/>
      <c r="AL77" s="9">
        <v>75</v>
      </c>
      <c r="AM77" s="43"/>
      <c r="AN77" s="55"/>
      <c r="AO77" s="34"/>
      <c r="AP77" s="34"/>
      <c r="AQ77" s="34"/>
      <c r="AR77" s="34"/>
      <c r="AS77" s="51"/>
      <c r="AT77" s="51"/>
      <c r="AU77" s="51"/>
      <c r="AV77" s="51"/>
      <c r="AW77" s="51"/>
      <c r="AX77" s="51"/>
      <c r="AY77" s="51"/>
      <c r="AZ77" s="51"/>
      <c r="BA77" s="52"/>
      <c r="BJ77" s="9">
        <v>75</v>
      </c>
      <c r="BK77" s="43"/>
      <c r="BL77" s="55"/>
      <c r="BM77" s="34"/>
      <c r="BN77" s="34"/>
      <c r="BO77" s="34"/>
      <c r="BP77" s="34"/>
      <c r="BQ77" s="51"/>
      <c r="BR77" s="51"/>
      <c r="BS77" s="51"/>
      <c r="BT77" s="51"/>
      <c r="BU77" s="51"/>
      <c r="BV77" s="51"/>
      <c r="BW77" s="51"/>
      <c r="BX77" s="51"/>
      <c r="BY77" s="52"/>
      <c r="CH77" s="9">
        <v>75</v>
      </c>
    </row>
    <row r="78" spans="1:86" x14ac:dyDescent="0.15">
      <c r="A78" s="10">
        <f t="shared" si="2"/>
        <v>76</v>
      </c>
      <c r="B78" t="s">
        <v>271</v>
      </c>
      <c r="C78" t="s">
        <v>271</v>
      </c>
      <c r="D78" s="10"/>
      <c r="E78" s="10"/>
      <c r="F78" s="10"/>
      <c r="G78" s="10"/>
      <c r="H78" t="s">
        <v>269</v>
      </c>
      <c r="N78" s="9">
        <v>76</v>
      </c>
      <c r="O78" s="43"/>
      <c r="P78" s="55"/>
      <c r="Q78" s="34"/>
      <c r="R78" s="34"/>
      <c r="S78" s="34"/>
      <c r="T78" s="34"/>
      <c r="U78" s="51"/>
      <c r="V78" s="51"/>
      <c r="W78" s="51"/>
      <c r="X78" s="51"/>
      <c r="Y78" s="51"/>
      <c r="Z78" s="51"/>
      <c r="AA78" s="51"/>
      <c r="AB78" s="51"/>
      <c r="AC78" s="52"/>
      <c r="AL78" s="9">
        <v>76</v>
      </c>
      <c r="AM78" s="43"/>
      <c r="AN78" s="55"/>
      <c r="AO78" s="34"/>
      <c r="AP78" s="34"/>
      <c r="AQ78" s="34"/>
      <c r="AR78" s="34"/>
      <c r="AS78" s="51"/>
      <c r="AT78" s="51"/>
      <c r="AU78" s="51"/>
      <c r="AV78" s="51"/>
      <c r="AW78" s="51"/>
      <c r="AX78" s="51"/>
      <c r="AY78" s="51"/>
      <c r="AZ78" s="51"/>
      <c r="BA78" s="52"/>
      <c r="BJ78" s="9">
        <v>76</v>
      </c>
      <c r="BK78" s="43"/>
      <c r="BL78" s="55"/>
      <c r="BM78" s="34"/>
      <c r="BN78" s="34"/>
      <c r="BO78" s="34"/>
      <c r="BP78" s="34"/>
      <c r="BQ78" s="51"/>
      <c r="BR78" s="51"/>
      <c r="BS78" s="51"/>
      <c r="BT78" s="51"/>
      <c r="BU78" s="51"/>
      <c r="BV78" s="51"/>
      <c r="BW78" s="51"/>
      <c r="BX78" s="51"/>
      <c r="BY78" s="52"/>
      <c r="CH78" s="9">
        <v>76</v>
      </c>
    </row>
    <row r="79" spans="1:86" x14ac:dyDescent="0.15">
      <c r="A79" s="10">
        <f t="shared" si="2"/>
        <v>77</v>
      </c>
      <c r="B79" t="s">
        <v>271</v>
      </c>
      <c r="C79" t="s">
        <v>271</v>
      </c>
      <c r="D79" s="10"/>
      <c r="E79" s="10"/>
      <c r="F79" s="10"/>
      <c r="G79" s="10"/>
      <c r="H79" t="s">
        <v>269</v>
      </c>
      <c r="N79" s="9">
        <v>77</v>
      </c>
      <c r="O79" s="43"/>
      <c r="P79" s="55"/>
      <c r="Q79" s="34"/>
      <c r="R79" s="34"/>
      <c r="S79" s="34"/>
      <c r="T79" s="34"/>
      <c r="U79" s="51"/>
      <c r="V79" s="51"/>
      <c r="W79" s="51"/>
      <c r="X79" s="51"/>
      <c r="Y79" s="51"/>
      <c r="Z79" s="51"/>
      <c r="AA79" s="51"/>
      <c r="AB79" s="51"/>
      <c r="AC79" s="52"/>
      <c r="AL79" s="9">
        <v>77</v>
      </c>
      <c r="AM79" s="43"/>
      <c r="AN79" s="55"/>
      <c r="AO79" s="34"/>
      <c r="AP79" s="34"/>
      <c r="AQ79" s="34"/>
      <c r="AR79" s="34"/>
      <c r="AS79" s="51"/>
      <c r="AT79" s="51"/>
      <c r="AU79" s="51"/>
      <c r="AV79" s="51"/>
      <c r="AW79" s="51"/>
      <c r="AX79" s="51"/>
      <c r="AY79" s="51"/>
      <c r="AZ79" s="51"/>
      <c r="BA79" s="52"/>
      <c r="BJ79" s="9">
        <v>77</v>
      </c>
      <c r="BK79" s="43"/>
      <c r="BL79" s="55"/>
      <c r="BM79" s="34"/>
      <c r="BN79" s="34"/>
      <c r="BO79" s="34"/>
      <c r="BP79" s="34"/>
      <c r="BQ79" s="51"/>
      <c r="BR79" s="51"/>
      <c r="BS79" s="51"/>
      <c r="BT79" s="51"/>
      <c r="BU79" s="51"/>
      <c r="BV79" s="51"/>
      <c r="BW79" s="51"/>
      <c r="BX79" s="51"/>
      <c r="BY79" s="52"/>
      <c r="CH79" s="9">
        <v>77</v>
      </c>
    </row>
    <row r="80" spans="1:86" x14ac:dyDescent="0.15">
      <c r="A80" s="10">
        <f t="shared" si="2"/>
        <v>78</v>
      </c>
      <c r="B80" t="s">
        <v>271</v>
      </c>
      <c r="C80" t="s">
        <v>271</v>
      </c>
      <c r="D80" s="10"/>
      <c r="E80" s="10"/>
      <c r="F80" s="10"/>
      <c r="G80" s="10"/>
      <c r="H80" t="s">
        <v>269</v>
      </c>
      <c r="N80" s="9">
        <v>78</v>
      </c>
      <c r="O80" s="43"/>
      <c r="P80" s="55"/>
      <c r="Q80" s="34"/>
      <c r="R80" s="34"/>
      <c r="S80" s="34"/>
      <c r="T80" s="34"/>
      <c r="U80" s="51"/>
      <c r="V80" s="51"/>
      <c r="W80" s="51"/>
      <c r="X80" s="51"/>
      <c r="Y80" s="51"/>
      <c r="Z80" s="51"/>
      <c r="AA80" s="51"/>
      <c r="AB80" s="51"/>
      <c r="AC80" s="52"/>
      <c r="AL80" s="9">
        <v>78</v>
      </c>
      <c r="AM80" s="43"/>
      <c r="AN80" s="55"/>
      <c r="AO80" s="34"/>
      <c r="AP80" s="34"/>
      <c r="AQ80" s="34"/>
      <c r="AR80" s="34"/>
      <c r="AS80" s="51"/>
      <c r="AT80" s="51"/>
      <c r="AU80" s="51"/>
      <c r="AV80" s="51"/>
      <c r="AW80" s="51"/>
      <c r="AX80" s="51"/>
      <c r="AY80" s="51"/>
      <c r="AZ80" s="51"/>
      <c r="BA80" s="52"/>
      <c r="BJ80" s="9">
        <v>78</v>
      </c>
      <c r="BK80" s="43"/>
      <c r="BL80" s="55"/>
      <c r="BM80" s="34"/>
      <c r="BN80" s="34"/>
      <c r="BO80" s="34"/>
      <c r="BP80" s="34"/>
      <c r="BQ80" s="51"/>
      <c r="BR80" s="51"/>
      <c r="BS80" s="51"/>
      <c r="BT80" s="51"/>
      <c r="BU80" s="51"/>
      <c r="BV80" s="51"/>
      <c r="BW80" s="51"/>
      <c r="BX80" s="51"/>
      <c r="BY80" s="52"/>
      <c r="CH80" s="9">
        <v>78</v>
      </c>
    </row>
    <row r="81" spans="1:86" x14ac:dyDescent="0.15">
      <c r="A81" s="10">
        <f t="shared" si="2"/>
        <v>79</v>
      </c>
      <c r="B81" t="s">
        <v>271</v>
      </c>
      <c r="C81" t="s">
        <v>271</v>
      </c>
      <c r="D81" s="10"/>
      <c r="E81" s="10"/>
      <c r="F81" s="10"/>
      <c r="G81" s="10"/>
      <c r="H81" t="s">
        <v>269</v>
      </c>
      <c r="N81" s="9">
        <v>79</v>
      </c>
      <c r="O81" s="43"/>
      <c r="P81" s="55"/>
      <c r="Q81" s="34"/>
      <c r="R81" s="34"/>
      <c r="S81" s="34"/>
      <c r="T81" s="34"/>
      <c r="U81" s="51"/>
      <c r="V81" s="51"/>
      <c r="W81" s="51"/>
      <c r="X81" s="51"/>
      <c r="Y81" s="51"/>
      <c r="Z81" s="51"/>
      <c r="AA81" s="51"/>
      <c r="AB81" s="51"/>
      <c r="AC81" s="52"/>
      <c r="AL81" s="9">
        <v>79</v>
      </c>
      <c r="AM81" s="43"/>
      <c r="AN81" s="55"/>
      <c r="AO81" s="34"/>
      <c r="AP81" s="34"/>
      <c r="AQ81" s="34"/>
      <c r="AR81" s="34"/>
      <c r="AS81" s="51"/>
      <c r="AT81" s="51"/>
      <c r="AU81" s="51"/>
      <c r="AV81" s="51"/>
      <c r="AW81" s="51"/>
      <c r="AX81" s="51"/>
      <c r="AY81" s="51"/>
      <c r="AZ81" s="51"/>
      <c r="BA81" s="52"/>
      <c r="BJ81" s="9">
        <v>79</v>
      </c>
      <c r="BK81" s="43"/>
      <c r="BL81" s="55"/>
      <c r="BM81" s="34"/>
      <c r="BN81" s="34"/>
      <c r="BO81" s="34"/>
      <c r="BP81" s="34"/>
      <c r="BQ81" s="51"/>
      <c r="BR81" s="51"/>
      <c r="BS81" s="51"/>
      <c r="BT81" s="51"/>
      <c r="BU81" s="51"/>
      <c r="BV81" s="51"/>
      <c r="BW81" s="51"/>
      <c r="BX81" s="51"/>
      <c r="BY81" s="52"/>
      <c r="CH81" s="9">
        <v>79</v>
      </c>
    </row>
    <row r="82" spans="1:86" x14ac:dyDescent="0.15">
      <c r="A82" s="10">
        <f t="shared" si="2"/>
        <v>80</v>
      </c>
      <c r="B82" t="s">
        <v>271</v>
      </c>
      <c r="C82" t="s">
        <v>271</v>
      </c>
      <c r="D82" s="10"/>
      <c r="E82" s="10"/>
      <c r="F82" s="10"/>
      <c r="G82" s="10"/>
      <c r="H82" t="s">
        <v>269</v>
      </c>
      <c r="N82" s="9">
        <v>80</v>
      </c>
      <c r="O82" s="43"/>
      <c r="P82" s="55"/>
      <c r="Q82" s="34"/>
      <c r="R82" s="34"/>
      <c r="S82" s="34"/>
      <c r="T82" s="34"/>
      <c r="U82" s="51"/>
      <c r="V82" s="51"/>
      <c r="W82" s="51"/>
      <c r="X82" s="51"/>
      <c r="Y82" s="51"/>
      <c r="Z82" s="51"/>
      <c r="AA82" s="51"/>
      <c r="AB82" s="51"/>
      <c r="AC82" s="52"/>
      <c r="AL82" s="9">
        <v>80</v>
      </c>
      <c r="AM82" s="43"/>
      <c r="AN82" s="55"/>
      <c r="AO82" s="34"/>
      <c r="AP82" s="34"/>
      <c r="AQ82" s="34"/>
      <c r="AR82" s="34"/>
      <c r="AS82" s="51"/>
      <c r="AT82" s="51"/>
      <c r="AU82" s="51"/>
      <c r="AV82" s="51"/>
      <c r="AW82" s="51"/>
      <c r="AX82" s="51"/>
      <c r="AY82" s="51"/>
      <c r="AZ82" s="51"/>
      <c r="BA82" s="52"/>
      <c r="BJ82" s="9">
        <v>80</v>
      </c>
      <c r="BK82" s="43"/>
      <c r="BL82" s="55"/>
      <c r="BM82" s="34"/>
      <c r="BN82" s="34"/>
      <c r="BO82" s="34"/>
      <c r="BP82" s="34"/>
      <c r="BQ82" s="51"/>
      <c r="BR82" s="51"/>
      <c r="BS82" s="51"/>
      <c r="BT82" s="51"/>
      <c r="BU82" s="51"/>
      <c r="BV82" s="51"/>
      <c r="BW82" s="51"/>
      <c r="BX82" s="51"/>
      <c r="BY82" s="52"/>
      <c r="CH82" s="9">
        <v>80</v>
      </c>
    </row>
    <row r="83" spans="1:86" x14ac:dyDescent="0.15">
      <c r="A83" s="10">
        <f t="shared" si="2"/>
        <v>81</v>
      </c>
      <c r="B83" t="s">
        <v>271</v>
      </c>
      <c r="C83" t="s">
        <v>271</v>
      </c>
      <c r="D83" s="10"/>
      <c r="E83" s="10"/>
      <c r="F83" s="10"/>
      <c r="G83" s="10"/>
      <c r="H83" t="s">
        <v>269</v>
      </c>
      <c r="N83" s="9">
        <v>81</v>
      </c>
      <c r="O83" s="43"/>
      <c r="P83" s="55"/>
      <c r="Q83" s="34"/>
      <c r="R83" s="34"/>
      <c r="S83" s="34"/>
      <c r="T83" s="34"/>
      <c r="U83" s="51"/>
      <c r="V83" s="51"/>
      <c r="W83" s="51"/>
      <c r="X83" s="51"/>
      <c r="Y83" s="51"/>
      <c r="Z83" s="51"/>
      <c r="AA83" s="51"/>
      <c r="AB83" s="51"/>
      <c r="AC83" s="52"/>
      <c r="AL83" s="9">
        <v>81</v>
      </c>
      <c r="AM83" s="43"/>
      <c r="AN83" s="55"/>
      <c r="AO83" s="34"/>
      <c r="AP83" s="34"/>
      <c r="AQ83" s="34"/>
      <c r="AR83" s="34"/>
      <c r="AS83" s="51"/>
      <c r="AT83" s="51"/>
      <c r="AU83" s="51"/>
      <c r="AV83" s="51"/>
      <c r="AW83" s="51"/>
      <c r="AX83" s="51"/>
      <c r="AY83" s="51"/>
      <c r="AZ83" s="51"/>
      <c r="BA83" s="52"/>
      <c r="BJ83" s="9">
        <v>81</v>
      </c>
      <c r="BK83" s="43"/>
      <c r="BL83" s="55"/>
      <c r="BM83" s="34"/>
      <c r="BN83" s="34"/>
      <c r="BO83" s="34"/>
      <c r="BP83" s="34"/>
      <c r="BQ83" s="51"/>
      <c r="BR83" s="51"/>
      <c r="BS83" s="51"/>
      <c r="BT83" s="51"/>
      <c r="BU83" s="51"/>
      <c r="BV83" s="51"/>
      <c r="BW83" s="51"/>
      <c r="BX83" s="51"/>
      <c r="BY83" s="52"/>
      <c r="CH83" s="9">
        <v>81</v>
      </c>
    </row>
    <row r="84" spans="1:86" x14ac:dyDescent="0.15">
      <c r="A84" s="10">
        <f t="shared" si="2"/>
        <v>82</v>
      </c>
      <c r="B84" t="s">
        <v>271</v>
      </c>
      <c r="C84" t="s">
        <v>271</v>
      </c>
      <c r="D84" s="10"/>
      <c r="E84" s="10"/>
      <c r="F84" s="10"/>
      <c r="G84" s="10"/>
      <c r="H84" t="s">
        <v>269</v>
      </c>
      <c r="N84" s="9">
        <v>82</v>
      </c>
      <c r="O84" s="43"/>
      <c r="P84" s="55"/>
      <c r="Q84" s="34"/>
      <c r="R84" s="34"/>
      <c r="S84" s="34"/>
      <c r="T84" s="34"/>
      <c r="U84" s="51"/>
      <c r="V84" s="51"/>
      <c r="W84" s="51"/>
      <c r="X84" s="51"/>
      <c r="Y84" s="51"/>
      <c r="Z84" s="51"/>
      <c r="AA84" s="51"/>
      <c r="AB84" s="51"/>
      <c r="AC84" s="52"/>
      <c r="AL84" s="9">
        <v>82</v>
      </c>
      <c r="AM84" s="43"/>
      <c r="AN84" s="55"/>
      <c r="AO84" s="34"/>
      <c r="AP84" s="34"/>
      <c r="AQ84" s="34"/>
      <c r="AR84" s="34"/>
      <c r="AS84" s="51"/>
      <c r="AT84" s="51"/>
      <c r="AU84" s="51"/>
      <c r="AV84" s="51"/>
      <c r="AW84" s="51"/>
      <c r="AX84" s="51"/>
      <c r="AY84" s="51"/>
      <c r="AZ84" s="51"/>
      <c r="BA84" s="52"/>
      <c r="BJ84" s="9">
        <v>82</v>
      </c>
      <c r="BK84" s="43"/>
      <c r="BL84" s="55"/>
      <c r="BM84" s="34"/>
      <c r="BN84" s="34"/>
      <c r="BO84" s="34"/>
      <c r="BP84" s="34"/>
      <c r="BQ84" s="51"/>
      <c r="BR84" s="51"/>
      <c r="BS84" s="51"/>
      <c r="BT84" s="51"/>
      <c r="BU84" s="51"/>
      <c r="BV84" s="51"/>
      <c r="BW84" s="51"/>
      <c r="BX84" s="51"/>
      <c r="BY84" s="52"/>
      <c r="CH84" s="9">
        <v>82</v>
      </c>
    </row>
    <row r="85" spans="1:86" x14ac:dyDescent="0.15">
      <c r="A85" s="10">
        <f t="shared" si="2"/>
        <v>83</v>
      </c>
      <c r="B85" t="s">
        <v>271</v>
      </c>
      <c r="C85" t="s">
        <v>271</v>
      </c>
      <c r="D85" s="10"/>
      <c r="E85" s="10"/>
      <c r="F85" s="10"/>
      <c r="G85" s="10"/>
      <c r="H85" t="s">
        <v>269</v>
      </c>
      <c r="N85" s="9">
        <v>83</v>
      </c>
      <c r="O85" s="43"/>
      <c r="P85" s="55"/>
      <c r="Q85" s="34"/>
      <c r="R85" s="34"/>
      <c r="S85" s="34"/>
      <c r="T85" s="34"/>
      <c r="U85" s="51"/>
      <c r="V85" s="51"/>
      <c r="W85" s="51"/>
      <c r="X85" s="51"/>
      <c r="Y85" s="51"/>
      <c r="Z85" s="51"/>
      <c r="AA85" s="51"/>
      <c r="AB85" s="51"/>
      <c r="AC85" s="52"/>
      <c r="AL85" s="9">
        <v>83</v>
      </c>
      <c r="AM85" s="43"/>
      <c r="AN85" s="55"/>
      <c r="AO85" s="34"/>
      <c r="AP85" s="34"/>
      <c r="AQ85" s="34"/>
      <c r="AR85" s="34"/>
      <c r="AS85" s="51"/>
      <c r="AT85" s="51"/>
      <c r="AU85" s="51"/>
      <c r="AV85" s="51"/>
      <c r="AW85" s="51"/>
      <c r="AX85" s="51"/>
      <c r="AY85" s="51"/>
      <c r="AZ85" s="51"/>
      <c r="BA85" s="52"/>
      <c r="BJ85" s="9">
        <v>83</v>
      </c>
      <c r="BK85" s="43"/>
      <c r="BL85" s="55"/>
      <c r="BM85" s="34"/>
      <c r="BN85" s="34"/>
      <c r="BO85" s="34"/>
      <c r="BP85" s="34"/>
      <c r="BQ85" s="51"/>
      <c r="BR85" s="51"/>
      <c r="BS85" s="51"/>
      <c r="BT85" s="51"/>
      <c r="BU85" s="51"/>
      <c r="BV85" s="51"/>
      <c r="BW85" s="51"/>
      <c r="BX85" s="51"/>
      <c r="BY85" s="52"/>
      <c r="CH85" s="9">
        <v>83</v>
      </c>
    </row>
    <row r="86" spans="1:86" x14ac:dyDescent="0.15">
      <c r="A86" s="10">
        <f t="shared" si="2"/>
        <v>84</v>
      </c>
      <c r="B86" t="s">
        <v>271</v>
      </c>
      <c r="C86" t="s">
        <v>271</v>
      </c>
      <c r="D86" s="10"/>
      <c r="E86" s="10"/>
      <c r="F86" s="10"/>
      <c r="G86" s="10"/>
      <c r="H86" t="s">
        <v>269</v>
      </c>
      <c r="N86" s="9">
        <v>84</v>
      </c>
      <c r="O86" s="43"/>
      <c r="P86" s="55"/>
      <c r="Q86" s="34"/>
      <c r="R86" s="34"/>
      <c r="S86" s="34"/>
      <c r="T86" s="34"/>
      <c r="U86" s="51"/>
      <c r="V86" s="51"/>
      <c r="W86" s="51"/>
      <c r="X86" s="51"/>
      <c r="Y86" s="51"/>
      <c r="Z86" s="51"/>
      <c r="AA86" s="51"/>
      <c r="AB86" s="51"/>
      <c r="AC86" s="52"/>
      <c r="AL86" s="9">
        <v>84</v>
      </c>
      <c r="AM86" s="43"/>
      <c r="AN86" s="55"/>
      <c r="AO86" s="34"/>
      <c r="AP86" s="34"/>
      <c r="AQ86" s="34"/>
      <c r="AR86" s="34"/>
      <c r="AS86" s="51"/>
      <c r="AT86" s="51"/>
      <c r="AU86" s="51"/>
      <c r="AV86" s="51"/>
      <c r="AW86" s="51"/>
      <c r="AX86" s="51"/>
      <c r="AY86" s="51"/>
      <c r="AZ86" s="51"/>
      <c r="BA86" s="52"/>
      <c r="BJ86" s="9">
        <v>84</v>
      </c>
      <c r="BK86" s="43"/>
      <c r="BL86" s="55"/>
      <c r="BM86" s="34"/>
      <c r="BN86" s="34"/>
      <c r="BO86" s="34"/>
      <c r="BP86" s="34"/>
      <c r="BQ86" s="51"/>
      <c r="BR86" s="51"/>
      <c r="BS86" s="51"/>
      <c r="BT86" s="51"/>
      <c r="BU86" s="51"/>
      <c r="BV86" s="51"/>
      <c r="BW86" s="51"/>
      <c r="BX86" s="51"/>
      <c r="BY86" s="52"/>
      <c r="CH86" s="9">
        <v>84</v>
      </c>
    </row>
    <row r="87" spans="1:86" x14ac:dyDescent="0.15">
      <c r="A87" s="10">
        <f t="shared" si="2"/>
        <v>85</v>
      </c>
      <c r="B87" t="s">
        <v>271</v>
      </c>
      <c r="C87" t="s">
        <v>271</v>
      </c>
      <c r="D87" s="10"/>
      <c r="E87" s="10"/>
      <c r="F87" s="10"/>
      <c r="G87" s="10"/>
      <c r="H87" t="s">
        <v>269</v>
      </c>
      <c r="N87" s="9">
        <v>85</v>
      </c>
      <c r="O87" s="43"/>
      <c r="P87" s="55"/>
      <c r="Q87" s="34"/>
      <c r="R87" s="34"/>
      <c r="S87" s="34"/>
      <c r="T87" s="34"/>
      <c r="U87" s="51"/>
      <c r="V87" s="51"/>
      <c r="W87" s="51"/>
      <c r="X87" s="51"/>
      <c r="Y87" s="51"/>
      <c r="Z87" s="51"/>
      <c r="AA87" s="51"/>
      <c r="AB87" s="51"/>
      <c r="AC87" s="52"/>
      <c r="AL87" s="9">
        <v>85</v>
      </c>
      <c r="AM87" s="43"/>
      <c r="AN87" s="55"/>
      <c r="AO87" s="34"/>
      <c r="AP87" s="34"/>
      <c r="AQ87" s="34"/>
      <c r="AR87" s="34"/>
      <c r="AS87" s="51"/>
      <c r="AT87" s="51"/>
      <c r="AU87" s="51"/>
      <c r="AV87" s="51"/>
      <c r="AW87" s="51"/>
      <c r="AX87" s="51"/>
      <c r="AY87" s="51"/>
      <c r="AZ87" s="51"/>
      <c r="BA87" s="52"/>
      <c r="BJ87" s="9">
        <v>85</v>
      </c>
      <c r="BK87" s="43"/>
      <c r="BL87" s="55"/>
      <c r="BM87" s="34"/>
      <c r="BN87" s="34"/>
      <c r="BO87" s="34"/>
      <c r="BP87" s="34"/>
      <c r="BQ87" s="51"/>
      <c r="BR87" s="51"/>
      <c r="BS87" s="51"/>
      <c r="BT87" s="51"/>
      <c r="BU87" s="51"/>
      <c r="BV87" s="51"/>
      <c r="BW87" s="51"/>
      <c r="BX87" s="51"/>
      <c r="BY87" s="52"/>
      <c r="CH87" s="9">
        <v>85</v>
      </c>
    </row>
    <row r="88" spans="1:86" x14ac:dyDescent="0.15">
      <c r="A88" s="10">
        <f t="shared" si="2"/>
        <v>86</v>
      </c>
      <c r="B88" t="s">
        <v>271</v>
      </c>
      <c r="C88" t="s">
        <v>271</v>
      </c>
      <c r="D88" s="10"/>
      <c r="E88" s="10"/>
      <c r="F88" s="10"/>
      <c r="G88" s="10"/>
      <c r="H88" t="s">
        <v>269</v>
      </c>
      <c r="N88" s="9">
        <v>86</v>
      </c>
      <c r="O88" s="43"/>
      <c r="P88" s="55"/>
      <c r="Q88" s="34"/>
      <c r="R88" s="34"/>
      <c r="S88" s="34"/>
      <c r="T88" s="34"/>
      <c r="U88" s="51"/>
      <c r="V88" s="51"/>
      <c r="W88" s="51"/>
      <c r="X88" s="51"/>
      <c r="Y88" s="51"/>
      <c r="Z88" s="51"/>
      <c r="AA88" s="51"/>
      <c r="AB88" s="51"/>
      <c r="AC88" s="52"/>
      <c r="AL88" s="9">
        <v>86</v>
      </c>
      <c r="AM88" s="43"/>
      <c r="AN88" s="55"/>
      <c r="AO88" s="34"/>
      <c r="AP88" s="34"/>
      <c r="AQ88" s="34"/>
      <c r="AR88" s="34"/>
      <c r="AS88" s="51"/>
      <c r="AT88" s="51"/>
      <c r="AU88" s="51"/>
      <c r="AV88" s="51"/>
      <c r="AW88" s="51"/>
      <c r="AX88" s="51"/>
      <c r="AY88" s="51"/>
      <c r="AZ88" s="51"/>
      <c r="BA88" s="52"/>
      <c r="BJ88" s="9">
        <v>86</v>
      </c>
      <c r="BK88" s="43"/>
      <c r="BL88" s="55"/>
      <c r="BM88" s="34"/>
      <c r="BN88" s="34"/>
      <c r="BO88" s="34"/>
      <c r="BP88" s="34"/>
      <c r="BQ88" s="51"/>
      <c r="BR88" s="51"/>
      <c r="BS88" s="51"/>
      <c r="BT88" s="51"/>
      <c r="BU88" s="51"/>
      <c r="BV88" s="51"/>
      <c r="BW88" s="51"/>
      <c r="BX88" s="51"/>
      <c r="BY88" s="52"/>
      <c r="CH88" s="9">
        <v>86</v>
      </c>
    </row>
    <row r="89" spans="1:86" x14ac:dyDescent="0.15">
      <c r="A89" s="10">
        <f t="shared" si="2"/>
        <v>87</v>
      </c>
      <c r="B89" t="s">
        <v>271</v>
      </c>
      <c r="C89" t="s">
        <v>271</v>
      </c>
      <c r="D89" s="10"/>
      <c r="E89" s="10"/>
      <c r="F89" s="10"/>
      <c r="G89" s="10"/>
      <c r="H89" t="s">
        <v>269</v>
      </c>
      <c r="N89" s="9">
        <v>87</v>
      </c>
      <c r="O89" s="43"/>
      <c r="P89" s="55"/>
      <c r="Q89" s="34"/>
      <c r="R89" s="34"/>
      <c r="S89" s="34"/>
      <c r="T89" s="34"/>
      <c r="U89" s="51"/>
      <c r="V89" s="51"/>
      <c r="W89" s="51"/>
      <c r="X89" s="51"/>
      <c r="Y89" s="51"/>
      <c r="Z89" s="51"/>
      <c r="AA89" s="51"/>
      <c r="AB89" s="51"/>
      <c r="AC89" s="52"/>
      <c r="AL89" s="9">
        <v>87</v>
      </c>
      <c r="AM89" s="43"/>
      <c r="AN89" s="55"/>
      <c r="AO89" s="34"/>
      <c r="AP89" s="34"/>
      <c r="AQ89" s="34"/>
      <c r="AR89" s="34"/>
      <c r="AS89" s="51"/>
      <c r="AT89" s="51"/>
      <c r="AU89" s="51"/>
      <c r="AV89" s="51"/>
      <c r="AW89" s="51"/>
      <c r="AX89" s="51"/>
      <c r="AY89" s="51"/>
      <c r="AZ89" s="51"/>
      <c r="BA89" s="52"/>
      <c r="BJ89" s="9">
        <v>87</v>
      </c>
      <c r="BK89" s="43"/>
      <c r="BL89" s="55"/>
      <c r="BM89" s="34"/>
      <c r="BN89" s="34"/>
      <c r="BO89" s="34"/>
      <c r="BP89" s="34"/>
      <c r="BQ89" s="51"/>
      <c r="BR89" s="51"/>
      <c r="BS89" s="51"/>
      <c r="BT89" s="51"/>
      <c r="BU89" s="51"/>
      <c r="BV89" s="51"/>
      <c r="BW89" s="51"/>
      <c r="BX89" s="51"/>
      <c r="BY89" s="52"/>
      <c r="CH89" s="9">
        <v>87</v>
      </c>
    </row>
    <row r="90" spans="1:86" x14ac:dyDescent="0.15">
      <c r="A90" s="10">
        <f t="shared" si="2"/>
        <v>88</v>
      </c>
      <c r="B90" t="s">
        <v>271</v>
      </c>
      <c r="C90" t="s">
        <v>271</v>
      </c>
      <c r="D90" s="10"/>
      <c r="E90" s="10"/>
      <c r="F90" s="10"/>
      <c r="G90" s="10"/>
      <c r="H90" t="s">
        <v>269</v>
      </c>
      <c r="N90" s="9">
        <v>88</v>
      </c>
      <c r="O90" s="43"/>
      <c r="P90" s="55"/>
      <c r="Q90" s="34"/>
      <c r="R90" s="34"/>
      <c r="S90" s="34"/>
      <c r="T90" s="34"/>
      <c r="U90" s="51"/>
      <c r="V90" s="51"/>
      <c r="W90" s="51"/>
      <c r="X90" s="51"/>
      <c r="Y90" s="51"/>
      <c r="Z90" s="51"/>
      <c r="AA90" s="51"/>
      <c r="AB90" s="51"/>
      <c r="AC90" s="52"/>
      <c r="AL90" s="9">
        <v>88</v>
      </c>
      <c r="AM90" s="43"/>
      <c r="AN90" s="55"/>
      <c r="AO90" s="34"/>
      <c r="AP90" s="34"/>
      <c r="AQ90" s="34"/>
      <c r="AR90" s="34"/>
      <c r="AS90" s="51"/>
      <c r="AT90" s="51"/>
      <c r="AU90" s="51"/>
      <c r="AV90" s="51"/>
      <c r="AW90" s="51"/>
      <c r="AX90" s="51"/>
      <c r="AY90" s="51"/>
      <c r="AZ90" s="51"/>
      <c r="BA90" s="52"/>
      <c r="BJ90" s="9">
        <v>88</v>
      </c>
      <c r="BK90" s="43"/>
      <c r="BL90" s="55"/>
      <c r="BM90" s="34"/>
      <c r="BN90" s="34"/>
      <c r="BO90" s="34"/>
      <c r="BP90" s="34"/>
      <c r="BQ90" s="51"/>
      <c r="BR90" s="51"/>
      <c r="BS90" s="51"/>
      <c r="BT90" s="51"/>
      <c r="BU90" s="51"/>
      <c r="BV90" s="51"/>
      <c r="BW90" s="51"/>
      <c r="BX90" s="51"/>
      <c r="BY90" s="52"/>
      <c r="CH90" s="9">
        <v>88</v>
      </c>
    </row>
    <row r="91" spans="1:86" x14ac:dyDescent="0.15">
      <c r="A91" s="10">
        <f t="shared" si="2"/>
        <v>89</v>
      </c>
      <c r="B91" t="s">
        <v>271</v>
      </c>
      <c r="C91" t="s">
        <v>271</v>
      </c>
      <c r="D91" s="10"/>
      <c r="E91" s="10"/>
      <c r="F91" s="10"/>
      <c r="G91" s="10"/>
      <c r="H91" t="s">
        <v>269</v>
      </c>
      <c r="N91" s="9">
        <v>89</v>
      </c>
      <c r="O91" s="43"/>
      <c r="P91" s="55"/>
      <c r="Q91" s="34"/>
      <c r="R91" s="34"/>
      <c r="S91" s="34"/>
      <c r="T91" s="34"/>
      <c r="U91" s="51"/>
      <c r="V91" s="51"/>
      <c r="W91" s="51"/>
      <c r="X91" s="51"/>
      <c r="Y91" s="51"/>
      <c r="Z91" s="51"/>
      <c r="AA91" s="51"/>
      <c r="AB91" s="51"/>
      <c r="AC91" s="52"/>
      <c r="AL91" s="9">
        <v>89</v>
      </c>
      <c r="AM91" s="43"/>
      <c r="AN91" s="55"/>
      <c r="AO91" s="34"/>
      <c r="AP91" s="34"/>
      <c r="AQ91" s="34"/>
      <c r="AR91" s="34"/>
      <c r="AS91" s="51"/>
      <c r="AT91" s="51"/>
      <c r="AU91" s="51"/>
      <c r="AV91" s="51"/>
      <c r="AW91" s="51"/>
      <c r="AX91" s="51"/>
      <c r="AY91" s="51"/>
      <c r="AZ91" s="51"/>
      <c r="BA91" s="52"/>
      <c r="BJ91" s="9">
        <v>89</v>
      </c>
      <c r="BK91" s="43"/>
      <c r="BL91" s="55"/>
      <c r="BM91" s="34"/>
      <c r="BN91" s="34"/>
      <c r="BO91" s="34"/>
      <c r="BP91" s="34"/>
      <c r="BQ91" s="51"/>
      <c r="BR91" s="51"/>
      <c r="BS91" s="51"/>
      <c r="BT91" s="51"/>
      <c r="BU91" s="51"/>
      <c r="BV91" s="51"/>
      <c r="BW91" s="51"/>
      <c r="BX91" s="51"/>
      <c r="BY91" s="52"/>
      <c r="CH91" s="9">
        <v>89</v>
      </c>
    </row>
    <row r="92" spans="1:86" x14ac:dyDescent="0.15">
      <c r="A92" s="10">
        <f t="shared" si="2"/>
        <v>90</v>
      </c>
      <c r="B92" t="s">
        <v>271</v>
      </c>
      <c r="C92" t="s">
        <v>271</v>
      </c>
      <c r="D92" s="10"/>
      <c r="E92" s="10"/>
      <c r="F92" s="10"/>
      <c r="G92" s="10"/>
      <c r="H92" t="s">
        <v>269</v>
      </c>
      <c r="N92" s="9">
        <v>90</v>
      </c>
      <c r="O92" s="43"/>
      <c r="P92" s="55"/>
      <c r="Q92" s="34"/>
      <c r="R92" s="34"/>
      <c r="S92" s="34"/>
      <c r="T92" s="34"/>
      <c r="U92" s="51"/>
      <c r="V92" s="51"/>
      <c r="W92" s="51"/>
      <c r="X92" s="51"/>
      <c r="Y92" s="51"/>
      <c r="Z92" s="51"/>
      <c r="AA92" s="51"/>
      <c r="AB92" s="51"/>
      <c r="AC92" s="52"/>
      <c r="AL92" s="9">
        <v>90</v>
      </c>
      <c r="AM92" s="43"/>
      <c r="AN92" s="55"/>
      <c r="AO92" s="34"/>
      <c r="AP92" s="34"/>
      <c r="AQ92" s="34"/>
      <c r="AR92" s="34"/>
      <c r="AS92" s="51"/>
      <c r="AT92" s="51"/>
      <c r="AU92" s="51"/>
      <c r="AV92" s="51"/>
      <c r="AW92" s="51"/>
      <c r="AX92" s="51"/>
      <c r="AY92" s="51"/>
      <c r="AZ92" s="51"/>
      <c r="BA92" s="52"/>
      <c r="BJ92" s="9">
        <v>90</v>
      </c>
      <c r="BK92" s="43"/>
      <c r="BL92" s="55"/>
      <c r="BM92" s="34"/>
      <c r="BN92" s="34"/>
      <c r="BO92" s="34"/>
      <c r="BP92" s="34"/>
      <c r="BQ92" s="51"/>
      <c r="BR92" s="51"/>
      <c r="BS92" s="51"/>
      <c r="BT92" s="51"/>
      <c r="BU92" s="51"/>
      <c r="BV92" s="51"/>
      <c r="BW92" s="51"/>
      <c r="BX92" s="51"/>
      <c r="BY92" s="52"/>
      <c r="CH92" s="9">
        <v>90</v>
      </c>
    </row>
    <row r="93" spans="1:86" x14ac:dyDescent="0.15">
      <c r="A93" s="10">
        <f t="shared" si="2"/>
        <v>91</v>
      </c>
      <c r="B93" t="s">
        <v>271</v>
      </c>
      <c r="C93" t="s">
        <v>271</v>
      </c>
      <c r="D93" s="10"/>
      <c r="E93" s="10"/>
      <c r="F93" s="10"/>
      <c r="G93" s="10"/>
      <c r="H93" t="s">
        <v>269</v>
      </c>
      <c r="N93" s="9">
        <v>91</v>
      </c>
      <c r="O93" s="43"/>
      <c r="P93" s="55"/>
      <c r="Q93" s="34"/>
      <c r="R93" s="34"/>
      <c r="S93" s="34"/>
      <c r="T93" s="34"/>
      <c r="U93" s="51"/>
      <c r="V93" s="51"/>
      <c r="W93" s="51"/>
      <c r="X93" s="51"/>
      <c r="Y93" s="51"/>
      <c r="Z93" s="51"/>
      <c r="AA93" s="51"/>
      <c r="AB93" s="51"/>
      <c r="AC93" s="52"/>
      <c r="AL93" s="9">
        <v>91</v>
      </c>
      <c r="AM93" s="43"/>
      <c r="AN93" s="55"/>
      <c r="AO93" s="34"/>
      <c r="AP93" s="34"/>
      <c r="AQ93" s="34"/>
      <c r="AR93" s="34"/>
      <c r="AS93" s="51"/>
      <c r="AT93" s="51"/>
      <c r="AU93" s="51"/>
      <c r="AV93" s="51"/>
      <c r="AW93" s="51"/>
      <c r="AX93" s="51"/>
      <c r="AY93" s="51"/>
      <c r="AZ93" s="51"/>
      <c r="BA93" s="52"/>
      <c r="BJ93" s="9">
        <v>91</v>
      </c>
      <c r="BK93" s="43"/>
      <c r="BL93" s="55"/>
      <c r="BM93" s="34"/>
      <c r="BN93" s="34"/>
      <c r="BO93" s="34"/>
      <c r="BP93" s="34"/>
      <c r="BQ93" s="51"/>
      <c r="BR93" s="51"/>
      <c r="BS93" s="51"/>
      <c r="BT93" s="51"/>
      <c r="BU93" s="51"/>
      <c r="BV93" s="51"/>
      <c r="BW93" s="51"/>
      <c r="BX93" s="51"/>
      <c r="BY93" s="52"/>
      <c r="CH93" s="9">
        <v>91</v>
      </c>
    </row>
    <row r="94" spans="1:86" x14ac:dyDescent="0.15">
      <c r="A94" s="10">
        <f t="shared" si="2"/>
        <v>92</v>
      </c>
      <c r="B94" t="s">
        <v>271</v>
      </c>
      <c r="C94" t="s">
        <v>271</v>
      </c>
      <c r="D94" s="10"/>
      <c r="E94" s="10"/>
      <c r="F94" s="10"/>
      <c r="G94" s="10"/>
      <c r="H94" t="s">
        <v>269</v>
      </c>
      <c r="N94" s="9">
        <v>92</v>
      </c>
      <c r="O94" s="43"/>
      <c r="P94" s="55"/>
      <c r="Q94" s="34"/>
      <c r="R94" s="34"/>
      <c r="S94" s="34"/>
      <c r="T94" s="34"/>
      <c r="U94" s="51"/>
      <c r="V94" s="51"/>
      <c r="W94" s="51"/>
      <c r="X94" s="51"/>
      <c r="Y94" s="51"/>
      <c r="Z94" s="51"/>
      <c r="AA94" s="51"/>
      <c r="AB94" s="51"/>
      <c r="AC94" s="52"/>
      <c r="AL94" s="9">
        <v>92</v>
      </c>
      <c r="AM94" s="43"/>
      <c r="AN94" s="55"/>
      <c r="AO94" s="34"/>
      <c r="AP94" s="34"/>
      <c r="AQ94" s="34"/>
      <c r="AR94" s="34"/>
      <c r="AS94" s="51"/>
      <c r="AT94" s="51"/>
      <c r="AU94" s="51"/>
      <c r="AV94" s="51"/>
      <c r="AW94" s="51"/>
      <c r="AX94" s="51"/>
      <c r="AY94" s="51"/>
      <c r="AZ94" s="51"/>
      <c r="BA94" s="52"/>
      <c r="BJ94" s="9">
        <v>92</v>
      </c>
      <c r="BK94" s="43"/>
      <c r="BL94" s="55"/>
      <c r="BM94" s="34"/>
      <c r="BN94" s="34"/>
      <c r="BO94" s="34"/>
      <c r="BP94" s="34"/>
      <c r="BQ94" s="51"/>
      <c r="BR94" s="51"/>
      <c r="BS94" s="51"/>
      <c r="BT94" s="51"/>
      <c r="BU94" s="51"/>
      <c r="BV94" s="51"/>
      <c r="BW94" s="51"/>
      <c r="BX94" s="51"/>
      <c r="BY94" s="52"/>
      <c r="CH94" s="9">
        <v>92</v>
      </c>
    </row>
    <row r="95" spans="1:86" x14ac:dyDescent="0.15">
      <c r="A95" s="10">
        <f t="shared" si="2"/>
        <v>93</v>
      </c>
      <c r="B95" t="s">
        <v>271</v>
      </c>
      <c r="C95" t="s">
        <v>271</v>
      </c>
      <c r="D95" s="10"/>
      <c r="E95" s="10"/>
      <c r="F95" s="10"/>
      <c r="G95" s="10"/>
      <c r="H95" t="s">
        <v>269</v>
      </c>
      <c r="N95" s="9">
        <v>93</v>
      </c>
      <c r="O95" s="43"/>
      <c r="P95" s="55"/>
      <c r="Q95" s="34"/>
      <c r="R95" s="34"/>
      <c r="S95" s="34"/>
      <c r="T95" s="34"/>
      <c r="U95" s="51"/>
      <c r="V95" s="51"/>
      <c r="W95" s="51"/>
      <c r="X95" s="51"/>
      <c r="Y95" s="51"/>
      <c r="Z95" s="51"/>
      <c r="AA95" s="51"/>
      <c r="AB95" s="51"/>
      <c r="AC95" s="52"/>
      <c r="AL95" s="9">
        <v>93</v>
      </c>
      <c r="AM95" s="43"/>
      <c r="AN95" s="55"/>
      <c r="AO95" s="34"/>
      <c r="AP95" s="34"/>
      <c r="AQ95" s="34"/>
      <c r="AR95" s="34"/>
      <c r="AS95" s="51"/>
      <c r="AT95" s="51"/>
      <c r="AU95" s="51"/>
      <c r="AV95" s="51"/>
      <c r="AW95" s="51"/>
      <c r="AX95" s="51"/>
      <c r="AY95" s="51"/>
      <c r="AZ95" s="51"/>
      <c r="BA95" s="52"/>
      <c r="BJ95" s="9">
        <v>93</v>
      </c>
      <c r="BK95" s="43"/>
      <c r="BL95" s="55"/>
      <c r="BM95" s="34"/>
      <c r="BN95" s="34"/>
      <c r="BO95" s="34"/>
      <c r="BP95" s="34"/>
      <c r="BQ95" s="51"/>
      <c r="BR95" s="51"/>
      <c r="BS95" s="51"/>
      <c r="BT95" s="51"/>
      <c r="BU95" s="51"/>
      <c r="BV95" s="51"/>
      <c r="BW95" s="51"/>
      <c r="BX95" s="51"/>
      <c r="BY95" s="52"/>
      <c r="CH95" s="9">
        <v>93</v>
      </c>
    </row>
    <row r="96" spans="1:86" x14ac:dyDescent="0.15">
      <c r="A96" s="10">
        <f t="shared" si="2"/>
        <v>94</v>
      </c>
      <c r="B96" t="s">
        <v>271</v>
      </c>
      <c r="C96" t="s">
        <v>271</v>
      </c>
      <c r="D96" s="10"/>
      <c r="E96" s="10"/>
      <c r="F96" s="10"/>
      <c r="G96" s="10"/>
      <c r="H96" t="s">
        <v>269</v>
      </c>
      <c r="N96" s="9">
        <v>94</v>
      </c>
      <c r="O96" s="43"/>
      <c r="P96" s="55"/>
      <c r="Q96" s="34"/>
      <c r="R96" s="34"/>
      <c r="S96" s="34"/>
      <c r="T96" s="34"/>
      <c r="U96" s="51"/>
      <c r="V96" s="51"/>
      <c r="W96" s="51"/>
      <c r="X96" s="51"/>
      <c r="Y96" s="51"/>
      <c r="Z96" s="51"/>
      <c r="AA96" s="51"/>
      <c r="AB96" s="51"/>
      <c r="AC96" s="52"/>
      <c r="AL96" s="9">
        <v>94</v>
      </c>
      <c r="AM96" s="43"/>
      <c r="AN96" s="55"/>
      <c r="AO96" s="34"/>
      <c r="AP96" s="34"/>
      <c r="AQ96" s="34"/>
      <c r="AR96" s="34"/>
      <c r="AS96" s="51"/>
      <c r="AT96" s="51"/>
      <c r="AU96" s="51"/>
      <c r="AV96" s="51"/>
      <c r="AW96" s="51"/>
      <c r="AX96" s="51"/>
      <c r="AY96" s="51"/>
      <c r="AZ96" s="51"/>
      <c r="BA96" s="52"/>
      <c r="BJ96" s="9">
        <v>94</v>
      </c>
      <c r="BK96" s="43"/>
      <c r="BL96" s="55"/>
      <c r="BM96" s="34"/>
      <c r="BN96" s="34"/>
      <c r="BO96" s="34"/>
      <c r="BP96" s="34"/>
      <c r="BQ96" s="51"/>
      <c r="BR96" s="51"/>
      <c r="BS96" s="51"/>
      <c r="BT96" s="51"/>
      <c r="BU96" s="51"/>
      <c r="BV96" s="51"/>
      <c r="BW96" s="51"/>
      <c r="BX96" s="51"/>
      <c r="BY96" s="52"/>
      <c r="CH96" s="9">
        <v>94</v>
      </c>
    </row>
    <row r="97" spans="1:86" x14ac:dyDescent="0.15">
      <c r="A97" s="10">
        <f t="shared" si="2"/>
        <v>95</v>
      </c>
      <c r="B97" t="s">
        <v>271</v>
      </c>
      <c r="C97" t="s">
        <v>271</v>
      </c>
      <c r="D97" s="10"/>
      <c r="E97" s="10"/>
      <c r="F97" s="10"/>
      <c r="G97" s="10"/>
      <c r="H97" t="s">
        <v>269</v>
      </c>
      <c r="N97" s="9">
        <v>95</v>
      </c>
      <c r="O97" s="43"/>
      <c r="P97" s="55"/>
      <c r="Q97" s="34"/>
      <c r="R97" s="34"/>
      <c r="S97" s="34"/>
      <c r="T97" s="34"/>
      <c r="U97" s="51"/>
      <c r="V97" s="51"/>
      <c r="W97" s="51"/>
      <c r="X97" s="51"/>
      <c r="Y97" s="51"/>
      <c r="Z97" s="51"/>
      <c r="AA97" s="51"/>
      <c r="AB97" s="51"/>
      <c r="AC97" s="52"/>
      <c r="AL97" s="9">
        <v>95</v>
      </c>
      <c r="AM97" s="43"/>
      <c r="AN97" s="55"/>
      <c r="AO97" s="34"/>
      <c r="AP97" s="34"/>
      <c r="AQ97" s="34"/>
      <c r="AR97" s="34"/>
      <c r="AS97" s="51"/>
      <c r="AT97" s="51"/>
      <c r="AU97" s="51"/>
      <c r="AV97" s="51"/>
      <c r="AW97" s="51"/>
      <c r="AX97" s="51"/>
      <c r="AY97" s="51"/>
      <c r="AZ97" s="51"/>
      <c r="BA97" s="52"/>
      <c r="BJ97" s="9">
        <v>95</v>
      </c>
      <c r="BK97" s="43"/>
      <c r="BL97" s="55"/>
      <c r="BM97" s="34"/>
      <c r="BN97" s="34"/>
      <c r="BO97" s="34"/>
      <c r="BP97" s="34"/>
      <c r="BQ97" s="51"/>
      <c r="BR97" s="51"/>
      <c r="BS97" s="51"/>
      <c r="BT97" s="51"/>
      <c r="BU97" s="51"/>
      <c r="BV97" s="51"/>
      <c r="BW97" s="51"/>
      <c r="BX97" s="51"/>
      <c r="BY97" s="52"/>
      <c r="CH97" s="9">
        <v>95</v>
      </c>
    </row>
    <row r="98" spans="1:86" x14ac:dyDescent="0.15">
      <c r="A98" s="10">
        <f t="shared" si="2"/>
        <v>96</v>
      </c>
      <c r="B98" t="s">
        <v>271</v>
      </c>
      <c r="C98" t="s">
        <v>271</v>
      </c>
      <c r="D98" s="10"/>
      <c r="E98" s="10"/>
      <c r="F98" s="10"/>
      <c r="G98" s="10"/>
      <c r="H98" t="s">
        <v>269</v>
      </c>
      <c r="N98" s="9">
        <v>96</v>
      </c>
      <c r="O98" s="43"/>
      <c r="P98" s="55"/>
      <c r="Q98" s="34"/>
      <c r="R98" s="34"/>
      <c r="S98" s="34"/>
      <c r="T98" s="34"/>
      <c r="U98" s="51"/>
      <c r="V98" s="51"/>
      <c r="W98" s="51"/>
      <c r="X98" s="51"/>
      <c r="Y98" s="51"/>
      <c r="Z98" s="51"/>
      <c r="AA98" s="51"/>
      <c r="AB98" s="51"/>
      <c r="AC98" s="52"/>
      <c r="AL98" s="9">
        <v>96</v>
      </c>
      <c r="AM98" s="43"/>
      <c r="AN98" s="55"/>
      <c r="AO98" s="34"/>
      <c r="AP98" s="34"/>
      <c r="AQ98" s="34"/>
      <c r="AR98" s="34"/>
      <c r="AS98" s="51"/>
      <c r="AT98" s="51"/>
      <c r="AU98" s="51"/>
      <c r="AV98" s="51"/>
      <c r="AW98" s="51"/>
      <c r="AX98" s="51"/>
      <c r="AY98" s="51"/>
      <c r="AZ98" s="51"/>
      <c r="BA98" s="52"/>
      <c r="BJ98" s="9">
        <v>96</v>
      </c>
      <c r="BK98" s="43"/>
      <c r="BL98" s="55"/>
      <c r="BM98" s="34"/>
      <c r="BN98" s="34"/>
      <c r="BO98" s="34"/>
      <c r="BP98" s="34"/>
      <c r="BQ98" s="51"/>
      <c r="BR98" s="51"/>
      <c r="BS98" s="51"/>
      <c r="BT98" s="51"/>
      <c r="BU98" s="51"/>
      <c r="BV98" s="51"/>
      <c r="BW98" s="51"/>
      <c r="BX98" s="51"/>
      <c r="BY98" s="52"/>
      <c r="CH98" s="9">
        <v>96</v>
      </c>
    </row>
    <row r="99" spans="1:86" x14ac:dyDescent="0.15">
      <c r="A99" s="10">
        <f t="shared" si="2"/>
        <v>97</v>
      </c>
      <c r="B99" t="s">
        <v>271</v>
      </c>
      <c r="C99" t="s">
        <v>271</v>
      </c>
      <c r="D99" s="10"/>
      <c r="E99" s="10"/>
      <c r="F99" s="10"/>
      <c r="G99" s="10"/>
      <c r="H99" t="s">
        <v>269</v>
      </c>
      <c r="N99" s="9">
        <v>97</v>
      </c>
      <c r="O99" s="43"/>
      <c r="P99" s="55"/>
      <c r="Q99" s="34"/>
      <c r="R99" s="34"/>
      <c r="S99" s="34"/>
      <c r="T99" s="34"/>
      <c r="U99" s="51"/>
      <c r="V99" s="51"/>
      <c r="W99" s="51"/>
      <c r="X99" s="51"/>
      <c r="Y99" s="51"/>
      <c r="Z99" s="51"/>
      <c r="AA99" s="51"/>
      <c r="AB99" s="51"/>
      <c r="AC99" s="52"/>
      <c r="AL99" s="9">
        <v>97</v>
      </c>
      <c r="AM99" s="43"/>
      <c r="AN99" s="55"/>
      <c r="AO99" s="34"/>
      <c r="AP99" s="34"/>
      <c r="AQ99" s="34"/>
      <c r="AR99" s="34"/>
      <c r="AS99" s="51"/>
      <c r="AT99" s="51"/>
      <c r="AU99" s="51"/>
      <c r="AV99" s="51"/>
      <c r="AW99" s="51"/>
      <c r="AX99" s="51"/>
      <c r="AY99" s="51"/>
      <c r="AZ99" s="51"/>
      <c r="BA99" s="52"/>
      <c r="BJ99" s="9">
        <v>97</v>
      </c>
      <c r="BK99" s="43"/>
      <c r="BL99" s="55"/>
      <c r="BM99" s="34"/>
      <c r="BN99" s="34"/>
      <c r="BO99" s="34"/>
      <c r="BP99" s="34"/>
      <c r="BQ99" s="51"/>
      <c r="BR99" s="51"/>
      <c r="BS99" s="51"/>
      <c r="BT99" s="51"/>
      <c r="BU99" s="51"/>
      <c r="BV99" s="51"/>
      <c r="BW99" s="51"/>
      <c r="BX99" s="51"/>
      <c r="BY99" s="52"/>
      <c r="CH99" s="9">
        <v>97</v>
      </c>
    </row>
    <row r="100" spans="1:86" x14ac:dyDescent="0.15">
      <c r="A100" s="10">
        <f t="shared" si="2"/>
        <v>98</v>
      </c>
      <c r="B100" t="s">
        <v>271</v>
      </c>
      <c r="C100" t="s">
        <v>271</v>
      </c>
      <c r="D100" s="10"/>
      <c r="E100" s="10"/>
      <c r="F100" s="10"/>
      <c r="G100" s="10"/>
      <c r="H100" t="s">
        <v>269</v>
      </c>
      <c r="N100" s="9">
        <v>98</v>
      </c>
      <c r="O100" s="43"/>
      <c r="P100" s="55"/>
      <c r="Q100" s="34"/>
      <c r="R100" s="34"/>
      <c r="S100" s="34"/>
      <c r="T100" s="34"/>
      <c r="U100" s="51"/>
      <c r="V100" s="51"/>
      <c r="W100" s="51"/>
      <c r="X100" s="51"/>
      <c r="Y100" s="51"/>
      <c r="Z100" s="51"/>
      <c r="AA100" s="51"/>
      <c r="AB100" s="51"/>
      <c r="AC100" s="52"/>
      <c r="AL100" s="9">
        <v>98</v>
      </c>
      <c r="AM100" s="43"/>
      <c r="AN100" s="55"/>
      <c r="AO100" s="34"/>
      <c r="AP100" s="34"/>
      <c r="AQ100" s="34"/>
      <c r="AR100" s="34"/>
      <c r="AS100" s="51"/>
      <c r="AT100" s="51"/>
      <c r="AU100" s="51"/>
      <c r="AV100" s="51"/>
      <c r="AW100" s="51"/>
      <c r="AX100" s="51"/>
      <c r="AY100" s="51"/>
      <c r="AZ100" s="51"/>
      <c r="BA100" s="52"/>
      <c r="BJ100" s="9">
        <v>98</v>
      </c>
      <c r="BK100" s="43"/>
      <c r="BL100" s="55"/>
      <c r="BM100" s="34"/>
      <c r="BN100" s="34"/>
      <c r="BO100" s="34"/>
      <c r="BP100" s="34"/>
      <c r="BQ100" s="51"/>
      <c r="BR100" s="51"/>
      <c r="BS100" s="51"/>
      <c r="BT100" s="51"/>
      <c r="BU100" s="51"/>
      <c r="BV100" s="51"/>
      <c r="BW100" s="51"/>
      <c r="BX100" s="51"/>
      <c r="BY100" s="52"/>
      <c r="CH100" s="9">
        <v>98</v>
      </c>
    </row>
    <row r="101" spans="1:86" x14ac:dyDescent="0.15">
      <c r="A101" s="10">
        <f t="shared" si="2"/>
        <v>99</v>
      </c>
      <c r="B101" t="s">
        <v>271</v>
      </c>
      <c r="C101" t="s">
        <v>271</v>
      </c>
      <c r="D101" s="10"/>
      <c r="E101" s="10"/>
      <c r="F101" s="10"/>
      <c r="G101" s="10"/>
      <c r="H101" t="s">
        <v>269</v>
      </c>
      <c r="N101" s="9">
        <v>99</v>
      </c>
      <c r="O101" s="43"/>
      <c r="P101" s="55"/>
      <c r="Q101" s="34"/>
      <c r="R101" s="34"/>
      <c r="S101" s="34"/>
      <c r="T101" s="34"/>
      <c r="U101" s="51"/>
      <c r="V101" s="51"/>
      <c r="W101" s="51"/>
      <c r="X101" s="51"/>
      <c r="Y101" s="51"/>
      <c r="Z101" s="51"/>
      <c r="AA101" s="51"/>
      <c r="AB101" s="51"/>
      <c r="AC101" s="52"/>
      <c r="AL101" s="9">
        <v>99</v>
      </c>
      <c r="AM101" s="43"/>
      <c r="AN101" s="55"/>
      <c r="AO101" s="34"/>
      <c r="AP101" s="34"/>
      <c r="AQ101" s="34"/>
      <c r="AR101" s="34"/>
      <c r="AS101" s="51"/>
      <c r="AT101" s="51"/>
      <c r="AU101" s="51"/>
      <c r="AV101" s="51"/>
      <c r="AW101" s="51"/>
      <c r="AX101" s="51"/>
      <c r="AY101" s="51"/>
      <c r="AZ101" s="51"/>
      <c r="BA101" s="52"/>
      <c r="BJ101" s="9">
        <v>99</v>
      </c>
      <c r="BK101" s="43"/>
      <c r="BL101" s="55"/>
      <c r="BM101" s="34"/>
      <c r="BN101" s="34"/>
      <c r="BO101" s="34"/>
      <c r="BP101" s="34"/>
      <c r="BQ101" s="51"/>
      <c r="BR101" s="51"/>
      <c r="BS101" s="51"/>
      <c r="BT101" s="51"/>
      <c r="BU101" s="51"/>
      <c r="BV101" s="51"/>
      <c r="BW101" s="51"/>
      <c r="BX101" s="51"/>
      <c r="BY101" s="52"/>
      <c r="CH101" s="9">
        <v>99</v>
      </c>
    </row>
    <row r="102" spans="1:86" x14ac:dyDescent="0.15">
      <c r="A102" s="10">
        <f t="shared" si="2"/>
        <v>100</v>
      </c>
      <c r="B102" t="s">
        <v>271</v>
      </c>
      <c r="C102" t="s">
        <v>271</v>
      </c>
      <c r="D102" s="10"/>
      <c r="E102" s="10"/>
      <c r="F102" s="10"/>
      <c r="G102" s="10"/>
      <c r="H102" t="s">
        <v>269</v>
      </c>
      <c r="N102" s="9">
        <v>100</v>
      </c>
      <c r="O102" s="56"/>
      <c r="P102" s="57"/>
      <c r="Q102" s="34"/>
      <c r="R102" s="34"/>
      <c r="S102" s="34"/>
      <c r="T102" s="34"/>
      <c r="U102" s="51"/>
      <c r="V102" s="51"/>
      <c r="W102" s="51"/>
      <c r="X102" s="51"/>
      <c r="Y102" s="51"/>
      <c r="Z102" s="51"/>
      <c r="AA102" s="51"/>
      <c r="AB102" s="51"/>
      <c r="AC102" s="52"/>
      <c r="AL102" s="9">
        <v>100</v>
      </c>
      <c r="AM102" s="56"/>
      <c r="AN102" s="57"/>
      <c r="AO102" s="34"/>
      <c r="AP102" s="34"/>
      <c r="AQ102" s="34"/>
      <c r="AR102" s="34"/>
      <c r="AS102" s="51"/>
      <c r="AT102" s="51"/>
      <c r="AU102" s="51"/>
      <c r="AV102" s="51"/>
      <c r="AW102" s="51"/>
      <c r="AX102" s="51"/>
      <c r="AY102" s="51"/>
      <c r="AZ102" s="51"/>
      <c r="BA102" s="52"/>
      <c r="BJ102" s="9">
        <v>100</v>
      </c>
      <c r="BK102" s="56"/>
      <c r="BL102" s="57"/>
      <c r="BM102" s="34"/>
      <c r="BN102" s="34"/>
      <c r="BO102" s="34"/>
      <c r="BP102" s="34"/>
      <c r="BQ102" s="51"/>
      <c r="BR102" s="51"/>
      <c r="BS102" s="51"/>
      <c r="BT102" s="51"/>
      <c r="BU102" s="51"/>
      <c r="BV102" s="51"/>
      <c r="BW102" s="51"/>
      <c r="BX102" s="51"/>
      <c r="BY102" s="52"/>
      <c r="CH102" s="9">
        <v>100</v>
      </c>
    </row>
  </sheetData>
  <phoneticPr fontId="13"/>
  <conditionalFormatting sqref="O3:AK102">
    <cfRule type="cellIs" dxfId="1" priority="1" stopIfTrue="1" operator="notEqual">
      <formula>AM3</formula>
    </cfRule>
  </conditionalFormatting>
  <conditionalFormatting sqref="AM3:BI102">
    <cfRule type="cellIs" dxfId="0" priority="2" stopIfTrue="1" operator="notEqual">
      <formula>O3</formula>
    </cfRule>
  </conditionalFormatting>
  <hyperlinks>
    <hyperlink ref="A1" location="'ii-excel-diff'!A1" display="#" xr:uid="{00000000-0004-0000-0200-000000000000}"/>
  </hyperlink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3.5" x14ac:dyDescent="0.15"/>
  <sheetData/>
  <phoneticPr fontId="13"/>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S79"/>
  <sheetViews>
    <sheetView workbookViewId="0"/>
  </sheetViews>
  <sheetFormatPr defaultRowHeight="13.5" x14ac:dyDescent="0.15"/>
  <cols>
    <col min="1" max="1" width="2.75" customWidth="1"/>
    <col min="2" max="2" width="33.25" customWidth="1"/>
    <col min="3" max="3" width="3.875" customWidth="1"/>
    <col min="4" max="6" width="13" customWidth="1"/>
    <col min="7" max="7" width="2.75" customWidth="1"/>
    <col min="8" max="9" width="13" customWidth="1"/>
    <col min="10" max="10" width="3.375" customWidth="1"/>
    <col min="11" max="13" width="2.75" customWidth="1"/>
    <col min="14" max="70" width="13" customWidth="1"/>
  </cols>
  <sheetData>
    <row r="1" spans="1:71" ht="28.9" customHeight="1" x14ac:dyDescent="0.45">
      <c r="A1" s="11" t="s">
        <v>270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row>
    <row r="3" spans="1:71" ht="15" x14ac:dyDescent="0.25">
      <c r="B3" s="13" t="s">
        <v>273</v>
      </c>
      <c r="BA3" s="13" t="s">
        <v>274</v>
      </c>
    </row>
    <row r="4" spans="1:71" ht="15" x14ac:dyDescent="0.25">
      <c r="C4" s="13" t="s">
        <v>276</v>
      </c>
      <c r="AJ4" s="14" t="s">
        <v>277</v>
      </c>
      <c r="AK4" s="15"/>
      <c r="AL4" s="15"/>
      <c r="AM4" s="15"/>
      <c r="AN4" s="15"/>
      <c r="AO4" s="15"/>
      <c r="AP4" s="15"/>
      <c r="AQ4" s="15"/>
      <c r="AR4" s="15"/>
      <c r="AS4" s="15"/>
      <c r="AT4" s="15"/>
      <c r="AU4" s="15"/>
      <c r="AV4" s="15"/>
      <c r="AW4" s="15"/>
      <c r="AX4" s="15"/>
      <c r="AY4" s="16"/>
      <c r="BB4" s="13" t="s">
        <v>278</v>
      </c>
    </row>
    <row r="5" spans="1:71" ht="15" x14ac:dyDescent="0.25">
      <c r="AJ5" s="17"/>
      <c r="AK5" s="13" t="s">
        <v>280</v>
      </c>
      <c r="AY5" s="18"/>
      <c r="BB5" s="13" t="s">
        <v>281</v>
      </c>
    </row>
    <row r="6" spans="1:71" ht="15" x14ac:dyDescent="0.25">
      <c r="C6" s="13" t="s">
        <v>285</v>
      </c>
      <c r="R6" s="13" t="s">
        <v>286</v>
      </c>
      <c r="AJ6" s="17"/>
      <c r="AK6" s="13" t="s">
        <v>287</v>
      </c>
      <c r="AY6" s="18"/>
      <c r="BC6" s="13" t="s">
        <v>288</v>
      </c>
    </row>
    <row r="7" spans="1:71" ht="15" x14ac:dyDescent="0.25">
      <c r="AJ7" s="17"/>
      <c r="AK7" s="13" t="s">
        <v>292</v>
      </c>
      <c r="AY7" s="18"/>
      <c r="BC7" s="13" t="s">
        <v>293</v>
      </c>
    </row>
    <row r="8" spans="1:71" ht="15" x14ac:dyDescent="0.25">
      <c r="AJ8" s="17"/>
      <c r="AK8" s="13" t="s">
        <v>297</v>
      </c>
      <c r="AL8" s="20"/>
      <c r="AM8" s="20"/>
      <c r="AN8" s="20"/>
      <c r="AO8" s="20"/>
      <c r="AP8" s="20"/>
      <c r="AQ8" s="20"/>
      <c r="AR8" s="20"/>
      <c r="AS8" s="20"/>
      <c r="AT8" s="20"/>
      <c r="AU8" s="20"/>
      <c r="AV8" s="20"/>
      <c r="AW8" s="20"/>
      <c r="AX8" s="20"/>
      <c r="AY8" s="18"/>
      <c r="BC8" s="13" t="s">
        <v>298</v>
      </c>
    </row>
    <row r="9" spans="1:71" ht="15" x14ac:dyDescent="0.25">
      <c r="AJ9" s="17"/>
      <c r="AK9" s="13" t="s">
        <v>304</v>
      </c>
      <c r="AL9" s="20"/>
      <c r="AM9" s="20"/>
      <c r="AN9" s="20"/>
      <c r="AO9" s="20"/>
      <c r="AP9" s="20"/>
      <c r="AQ9" s="20"/>
      <c r="AR9" s="20"/>
      <c r="AS9" s="20"/>
      <c r="AT9" s="20"/>
      <c r="AU9" s="20"/>
      <c r="AV9" s="20"/>
      <c r="AW9" s="20"/>
      <c r="AX9" s="20"/>
      <c r="AY9" s="18"/>
      <c r="BC9" s="13" t="s">
        <v>305</v>
      </c>
    </row>
    <row r="10" spans="1:71" ht="15" x14ac:dyDescent="0.25">
      <c r="AJ10" s="17"/>
      <c r="AK10" s="13" t="s">
        <v>311</v>
      </c>
      <c r="AL10" s="20"/>
      <c r="AM10" s="20"/>
      <c r="AN10" s="20"/>
      <c r="AO10" s="20"/>
      <c r="AP10" s="20"/>
      <c r="AQ10" s="20"/>
      <c r="AR10" s="20"/>
      <c r="AS10" s="20"/>
      <c r="AT10" s="20"/>
      <c r="AU10" s="20"/>
      <c r="AV10" s="20"/>
      <c r="AW10" s="20"/>
      <c r="AX10" s="20"/>
      <c r="AY10" s="18"/>
      <c r="BC10" s="13" t="s">
        <v>312</v>
      </c>
    </row>
    <row r="11" spans="1:71" ht="15" x14ac:dyDescent="0.25">
      <c r="AJ11" s="17"/>
      <c r="AK11" s="13" t="s">
        <v>317</v>
      </c>
      <c r="AL11" s="20"/>
      <c r="AM11" s="20"/>
      <c r="AN11" s="20"/>
      <c r="AO11" s="20"/>
      <c r="AP11" s="20"/>
      <c r="AQ11" s="20"/>
      <c r="AR11" s="20"/>
      <c r="AS11" s="20"/>
      <c r="AT11" s="20"/>
      <c r="AU11" s="20"/>
      <c r="AV11" s="20"/>
      <c r="AW11" s="20"/>
      <c r="AX11" s="20"/>
      <c r="AY11" s="18"/>
    </row>
    <row r="12" spans="1:71" ht="15" x14ac:dyDescent="0.25">
      <c r="C12" s="13" t="s">
        <v>322</v>
      </c>
      <c r="AJ12" s="17"/>
      <c r="AK12" s="13" t="s">
        <v>323</v>
      </c>
      <c r="AL12" s="20"/>
      <c r="AM12" s="20"/>
      <c r="AN12" s="20"/>
      <c r="AO12" s="20"/>
      <c r="AP12" s="20"/>
      <c r="AQ12" s="20"/>
      <c r="AR12" s="20"/>
      <c r="AS12" s="20"/>
      <c r="AT12" s="20"/>
      <c r="AU12" s="20"/>
      <c r="AV12" s="20"/>
      <c r="AW12" s="20"/>
      <c r="AX12" s="20"/>
      <c r="AY12" s="18"/>
    </row>
    <row r="13" spans="1:71" ht="15" x14ac:dyDescent="0.25">
      <c r="AJ13" s="17"/>
      <c r="AK13" s="13" t="s">
        <v>326</v>
      </c>
      <c r="AL13" s="20"/>
      <c r="AM13" s="20"/>
      <c r="AN13" s="20"/>
      <c r="AO13" s="20"/>
      <c r="AP13" s="20"/>
      <c r="AQ13" s="20"/>
      <c r="AR13" s="20"/>
      <c r="AS13" s="20"/>
      <c r="AT13" s="20"/>
      <c r="AU13" s="20"/>
      <c r="AV13" s="20"/>
      <c r="AW13" s="20"/>
      <c r="AX13" s="20"/>
      <c r="AY13" s="18"/>
      <c r="BB13" s="13" t="s">
        <v>327</v>
      </c>
    </row>
    <row r="14" spans="1:71" ht="15" x14ac:dyDescent="0.25">
      <c r="AJ14" s="17"/>
      <c r="AK14" s="13" t="s">
        <v>329</v>
      </c>
      <c r="AL14" s="20"/>
      <c r="AM14" s="20"/>
      <c r="AN14" s="20"/>
      <c r="AO14" s="20"/>
      <c r="AP14" s="20"/>
      <c r="AQ14" s="20"/>
      <c r="AR14" s="20"/>
      <c r="AS14" s="20"/>
      <c r="AT14" s="20"/>
      <c r="AU14" s="20"/>
      <c r="AV14" s="20"/>
      <c r="AW14" s="20"/>
      <c r="AX14" s="20"/>
      <c r="AY14" s="18"/>
      <c r="BB14" s="13" t="s">
        <v>330</v>
      </c>
    </row>
    <row r="15" spans="1:71" ht="15" x14ac:dyDescent="0.25">
      <c r="AJ15" s="17"/>
      <c r="AK15" s="13" t="s">
        <v>332</v>
      </c>
      <c r="AL15" s="20"/>
      <c r="AM15" s="20"/>
      <c r="AN15" s="20"/>
      <c r="AO15" s="20"/>
      <c r="AP15" s="20"/>
      <c r="AQ15" s="20"/>
      <c r="AR15" s="20"/>
      <c r="AS15" s="20"/>
      <c r="AT15" s="20"/>
      <c r="AU15" s="20"/>
      <c r="AV15" s="20"/>
      <c r="AW15" s="20"/>
      <c r="AX15" s="20"/>
      <c r="AY15" s="18"/>
      <c r="BB15" s="21" t="s">
        <v>333</v>
      </c>
    </row>
    <row r="16" spans="1:71" ht="15" x14ac:dyDescent="0.25">
      <c r="AJ16" s="17"/>
      <c r="AK16" s="13" t="s">
        <v>335</v>
      </c>
      <c r="AY16" s="18"/>
      <c r="BB16" s="13" t="s">
        <v>336</v>
      </c>
    </row>
    <row r="17" spans="2:54" ht="15" x14ac:dyDescent="0.25">
      <c r="AJ17" s="17"/>
      <c r="AK17" s="13" t="s">
        <v>338</v>
      </c>
      <c r="AL17" s="22"/>
      <c r="AM17" s="22"/>
      <c r="AN17" s="22"/>
      <c r="AO17" s="22"/>
      <c r="AP17" s="22"/>
      <c r="AQ17" s="22"/>
      <c r="AR17" s="22"/>
      <c r="AS17" s="22"/>
      <c r="AT17" s="22"/>
      <c r="AU17" s="22"/>
      <c r="AV17" s="22"/>
      <c r="AW17" s="22"/>
      <c r="AX17" s="22"/>
      <c r="AY17" s="18"/>
    </row>
    <row r="18" spans="2:54" ht="15" x14ac:dyDescent="0.25">
      <c r="AJ18" s="17"/>
      <c r="AK18" s="13" t="s">
        <v>304</v>
      </c>
      <c r="AL18" s="22"/>
      <c r="AM18" s="22"/>
      <c r="AN18" s="22"/>
      <c r="AO18" s="22"/>
      <c r="AP18" s="22"/>
      <c r="AQ18" s="22"/>
      <c r="AR18" s="22"/>
      <c r="AS18" s="22"/>
      <c r="AT18" s="22"/>
      <c r="AU18" s="22"/>
      <c r="AV18" s="22"/>
      <c r="AW18" s="22"/>
      <c r="AX18" s="22"/>
      <c r="AY18" s="18"/>
      <c r="BB18" s="13" t="s">
        <v>340</v>
      </c>
    </row>
    <row r="19" spans="2:54" ht="15" x14ac:dyDescent="0.25">
      <c r="AJ19" s="17"/>
      <c r="AK19" s="13" t="s">
        <v>311</v>
      </c>
      <c r="AL19" s="22"/>
      <c r="AM19" s="22"/>
      <c r="AN19" s="22"/>
      <c r="AO19" s="22"/>
      <c r="AP19" s="22"/>
      <c r="AQ19" s="22"/>
      <c r="AR19" s="22"/>
      <c r="AS19" s="22"/>
      <c r="AT19" s="22"/>
      <c r="AU19" s="22"/>
      <c r="AV19" s="22"/>
      <c r="AW19" s="22"/>
      <c r="AX19" s="22"/>
      <c r="AY19" s="18"/>
      <c r="BB19" s="13" t="s">
        <v>342</v>
      </c>
    </row>
    <row r="20" spans="2:54" ht="15" x14ac:dyDescent="0.25">
      <c r="AJ20" s="17"/>
      <c r="AK20" s="13" t="s">
        <v>317</v>
      </c>
      <c r="AL20" s="22"/>
      <c r="AM20" s="22"/>
      <c r="AN20" s="22"/>
      <c r="AO20" s="22"/>
      <c r="AP20" s="22"/>
      <c r="AQ20" s="22"/>
      <c r="AR20" s="22"/>
      <c r="AS20" s="22"/>
      <c r="AT20" s="22"/>
      <c r="AU20" s="22"/>
      <c r="AV20" s="22"/>
      <c r="AW20" s="22"/>
      <c r="AX20" s="22"/>
      <c r="AY20" s="18"/>
      <c r="BB20" s="13" t="s">
        <v>344</v>
      </c>
    </row>
    <row r="21" spans="2:54" ht="15" x14ac:dyDescent="0.25">
      <c r="B21" s="13" t="s">
        <v>346</v>
      </c>
      <c r="AJ21" s="17"/>
      <c r="AK21" s="13" t="s">
        <v>323</v>
      </c>
      <c r="AL21" s="22"/>
      <c r="AM21" s="22"/>
      <c r="AN21" s="22"/>
      <c r="AO21" s="22"/>
      <c r="AP21" s="22"/>
      <c r="AQ21" s="22"/>
      <c r="AR21" s="22"/>
      <c r="AS21" s="22"/>
      <c r="AT21" s="22"/>
      <c r="AU21" s="22"/>
      <c r="AV21" s="22"/>
      <c r="AW21" s="22"/>
      <c r="AX21" s="22"/>
      <c r="AY21" s="18"/>
    </row>
    <row r="22" spans="2:54" ht="15" x14ac:dyDescent="0.25">
      <c r="C22" s="13" t="s">
        <v>348</v>
      </c>
      <c r="AJ22" s="17"/>
      <c r="AK22" s="13" t="s">
        <v>326</v>
      </c>
      <c r="AL22" s="22"/>
      <c r="AM22" s="22"/>
      <c r="AN22" s="22"/>
      <c r="AO22" s="22"/>
      <c r="AP22" s="22"/>
      <c r="AQ22" s="22"/>
      <c r="AR22" s="22"/>
      <c r="AS22" s="22"/>
      <c r="AT22" s="22"/>
      <c r="AU22" s="22"/>
      <c r="AV22" s="22"/>
      <c r="AW22" s="22"/>
      <c r="AX22" s="22"/>
      <c r="AY22" s="18"/>
      <c r="BB22" s="13" t="s">
        <v>349</v>
      </c>
    </row>
    <row r="23" spans="2:54" ht="15" x14ac:dyDescent="0.25">
      <c r="D23" s="13" t="s">
        <v>351</v>
      </c>
      <c r="AJ23" s="17"/>
      <c r="AK23" s="13" t="s">
        <v>329</v>
      </c>
      <c r="AL23" s="22"/>
      <c r="AM23" s="22"/>
      <c r="AN23" s="22"/>
      <c r="AO23" s="22"/>
      <c r="AP23" s="22"/>
      <c r="AQ23" s="22"/>
      <c r="AR23" s="22"/>
      <c r="AS23" s="22"/>
      <c r="AT23" s="22"/>
      <c r="AU23" s="22"/>
      <c r="AV23" s="22"/>
      <c r="AW23" s="22"/>
      <c r="AX23" s="22"/>
      <c r="AY23" s="18"/>
      <c r="BB23" s="13" t="s">
        <v>352</v>
      </c>
    </row>
    <row r="24" spans="2:54" ht="15" x14ac:dyDescent="0.25">
      <c r="D24" s="13" t="s">
        <v>354</v>
      </c>
      <c r="AJ24" s="17"/>
      <c r="AK24" s="13" t="s">
        <v>332</v>
      </c>
      <c r="AL24" s="22"/>
      <c r="AM24" s="22"/>
      <c r="AN24" s="22"/>
      <c r="AO24" s="22"/>
      <c r="AP24" s="22"/>
      <c r="AQ24" s="22"/>
      <c r="AR24" s="22"/>
      <c r="AS24" s="22"/>
      <c r="AT24" s="22"/>
      <c r="AU24" s="22"/>
      <c r="AV24" s="22"/>
      <c r="AW24" s="22"/>
      <c r="AX24" s="22"/>
      <c r="AY24" s="18"/>
      <c r="BB24" s="13" t="s">
        <v>355</v>
      </c>
    </row>
    <row r="25" spans="2:54" ht="15" x14ac:dyDescent="0.25">
      <c r="D25" s="13" t="s">
        <v>357</v>
      </c>
      <c r="AJ25" s="17"/>
      <c r="AK25" s="13" t="s">
        <v>358</v>
      </c>
      <c r="AL25" s="23"/>
      <c r="AM25" s="23"/>
      <c r="AN25" s="23"/>
      <c r="AO25" s="23"/>
      <c r="AP25" s="23"/>
      <c r="AQ25" s="23"/>
      <c r="AR25" s="23"/>
      <c r="AS25" s="23"/>
      <c r="AT25" s="23"/>
      <c r="AU25" s="23"/>
      <c r="AV25" s="23"/>
      <c r="AW25" s="23"/>
      <c r="AX25" s="23"/>
      <c r="AY25" s="18"/>
      <c r="BB25" s="13" t="s">
        <v>359</v>
      </c>
    </row>
    <row r="26" spans="2:54" ht="15" x14ac:dyDescent="0.25">
      <c r="D26" s="13" t="s">
        <v>361</v>
      </c>
      <c r="AJ26" s="17"/>
      <c r="AK26" s="13" t="s">
        <v>304</v>
      </c>
      <c r="AL26" s="23"/>
      <c r="AM26" s="23"/>
      <c r="AN26" s="23"/>
      <c r="AO26" s="23"/>
      <c r="AP26" s="23"/>
      <c r="AQ26" s="23"/>
      <c r="AR26" s="23"/>
      <c r="AS26" s="23"/>
      <c r="AT26" s="23"/>
      <c r="AU26" s="23"/>
      <c r="AV26" s="23"/>
      <c r="AW26" s="23"/>
      <c r="AX26" s="23"/>
      <c r="AY26" s="18"/>
    </row>
    <row r="27" spans="2:54" ht="15" x14ac:dyDescent="0.25">
      <c r="D27" s="13" t="s">
        <v>363</v>
      </c>
      <c r="AJ27" s="17"/>
      <c r="AK27" s="13" t="s">
        <v>311</v>
      </c>
      <c r="AL27" s="23"/>
      <c r="AM27" s="23"/>
      <c r="AN27" s="23"/>
      <c r="AO27" s="23"/>
      <c r="AP27" s="23"/>
      <c r="AQ27" s="23"/>
      <c r="AR27" s="23"/>
      <c r="AS27" s="23"/>
      <c r="AT27" s="23"/>
      <c r="AU27" s="23"/>
      <c r="AV27" s="23"/>
      <c r="AW27" s="23"/>
      <c r="AX27" s="23"/>
      <c r="AY27" s="18"/>
      <c r="BB27" s="21" t="s">
        <v>364</v>
      </c>
    </row>
    <row r="28" spans="2:54" ht="15" x14ac:dyDescent="0.25">
      <c r="D28" s="13" t="s">
        <v>366</v>
      </c>
      <c r="AJ28" s="17"/>
      <c r="AK28" s="13" t="s">
        <v>317</v>
      </c>
      <c r="AL28" s="23"/>
      <c r="AM28" s="23"/>
      <c r="AN28" s="23"/>
      <c r="AO28" s="23"/>
      <c r="AP28" s="23"/>
      <c r="AQ28" s="23"/>
      <c r="AR28" s="23"/>
      <c r="AS28" s="23"/>
      <c r="AT28" s="23"/>
      <c r="AU28" s="23"/>
      <c r="AV28" s="23"/>
      <c r="AW28" s="23"/>
      <c r="AX28" s="23"/>
      <c r="AY28" s="18"/>
    </row>
    <row r="29" spans="2:54" ht="15" x14ac:dyDescent="0.25">
      <c r="D29" s="13" t="s">
        <v>368</v>
      </c>
      <c r="AJ29" s="17"/>
      <c r="AK29" s="13" t="s">
        <v>323</v>
      </c>
      <c r="AL29" s="23"/>
      <c r="AM29" s="23"/>
      <c r="AN29" s="23"/>
      <c r="AO29" s="23"/>
      <c r="AP29" s="23"/>
      <c r="AQ29" s="23"/>
      <c r="AR29" s="23"/>
      <c r="AS29" s="23"/>
      <c r="AT29" s="23"/>
      <c r="AU29" s="23"/>
      <c r="AV29" s="23"/>
      <c r="AW29" s="23"/>
      <c r="AX29" s="23"/>
      <c r="AY29" s="18"/>
      <c r="BB29" s="13" t="s">
        <v>369</v>
      </c>
    </row>
    <row r="30" spans="2:54" ht="15" x14ac:dyDescent="0.25">
      <c r="AJ30" s="17"/>
      <c r="AK30" s="13" t="s">
        <v>326</v>
      </c>
      <c r="AL30" s="23"/>
      <c r="AM30" s="23"/>
      <c r="AN30" s="23"/>
      <c r="AO30" s="23"/>
      <c r="AP30" s="23"/>
      <c r="AQ30" s="23"/>
      <c r="AR30" s="23"/>
      <c r="AS30" s="23"/>
      <c r="AT30" s="23"/>
      <c r="AU30" s="23"/>
      <c r="AV30" s="23"/>
      <c r="AW30" s="23"/>
      <c r="AX30" s="23"/>
      <c r="AY30" s="18"/>
      <c r="BB30" s="21" t="s">
        <v>371</v>
      </c>
    </row>
    <row r="31" spans="2:54" ht="15" x14ac:dyDescent="0.25">
      <c r="C31" s="13" t="s">
        <v>373</v>
      </c>
      <c r="AJ31" s="17"/>
      <c r="AK31" s="13" t="s">
        <v>329</v>
      </c>
      <c r="AL31" s="23"/>
      <c r="AM31" s="23"/>
      <c r="AN31" s="23"/>
      <c r="AO31" s="23"/>
      <c r="AP31" s="23"/>
      <c r="AQ31" s="23"/>
      <c r="AR31" s="23"/>
      <c r="AS31" s="23"/>
      <c r="AT31" s="23"/>
      <c r="AU31" s="23"/>
      <c r="AV31" s="23"/>
      <c r="AW31" s="23"/>
      <c r="AX31" s="23"/>
      <c r="AY31" s="18"/>
    </row>
    <row r="32" spans="2:54" ht="15" x14ac:dyDescent="0.25">
      <c r="AJ32" s="17"/>
      <c r="AK32" s="13" t="s">
        <v>332</v>
      </c>
      <c r="AL32" s="23"/>
      <c r="AM32" s="23"/>
      <c r="AN32" s="23"/>
      <c r="AO32" s="23"/>
      <c r="AP32" s="23"/>
      <c r="AQ32" s="23"/>
      <c r="AR32" s="23"/>
      <c r="AS32" s="23"/>
      <c r="AT32" s="23"/>
      <c r="AU32" s="23"/>
      <c r="AV32" s="23"/>
      <c r="AW32" s="23"/>
      <c r="AX32" s="23"/>
      <c r="AY32" s="18"/>
      <c r="BB32" s="13" t="s">
        <v>375</v>
      </c>
    </row>
    <row r="33" spans="3:51" ht="15" x14ac:dyDescent="0.25">
      <c r="AJ33" s="17"/>
      <c r="AK33" s="13" t="s">
        <v>377</v>
      </c>
      <c r="AY33" s="18"/>
    </row>
    <row r="34" spans="3:51" ht="15" x14ac:dyDescent="0.25">
      <c r="AJ34" s="17"/>
      <c r="AK34" s="13" t="s">
        <v>379</v>
      </c>
      <c r="AY34" s="18"/>
    </row>
    <row r="35" spans="3:51" ht="15" x14ac:dyDescent="0.25">
      <c r="AJ35" s="17"/>
      <c r="AK35" s="13" t="s">
        <v>381</v>
      </c>
      <c r="AL35" s="24"/>
      <c r="AM35" s="24"/>
      <c r="AN35" s="24"/>
      <c r="AO35" s="24"/>
      <c r="AP35" s="24"/>
      <c r="AQ35" s="24"/>
      <c r="AR35" s="24"/>
      <c r="AS35" s="24"/>
      <c r="AT35" s="24"/>
      <c r="AU35" s="24"/>
      <c r="AV35" s="24"/>
      <c r="AW35" s="24"/>
      <c r="AX35" s="24"/>
      <c r="AY35" s="18"/>
    </row>
    <row r="36" spans="3:51" ht="15" x14ac:dyDescent="0.25">
      <c r="AJ36" s="17"/>
      <c r="AK36" s="13" t="s">
        <v>383</v>
      </c>
      <c r="AL36" s="24"/>
      <c r="AM36" s="24"/>
      <c r="AN36" s="24"/>
      <c r="AO36" s="24"/>
      <c r="AP36" s="24"/>
      <c r="AQ36" s="24"/>
      <c r="AR36" s="24"/>
      <c r="AS36" s="24"/>
      <c r="AT36" s="24"/>
      <c r="AU36" s="24"/>
      <c r="AV36" s="24"/>
      <c r="AW36" s="24"/>
      <c r="AX36" s="24"/>
      <c r="AY36" s="18"/>
    </row>
    <row r="37" spans="3:51" ht="15" x14ac:dyDescent="0.25">
      <c r="AJ37" s="17"/>
      <c r="AK37" s="13" t="s">
        <v>385</v>
      </c>
      <c r="AL37" s="24"/>
      <c r="AM37" s="24"/>
      <c r="AN37" s="24"/>
      <c r="AO37" s="24"/>
      <c r="AP37" s="24"/>
      <c r="AQ37" s="24"/>
      <c r="AR37" s="24"/>
      <c r="AS37" s="24"/>
      <c r="AT37" s="24"/>
      <c r="AU37" s="24"/>
      <c r="AV37" s="24"/>
      <c r="AW37" s="24"/>
      <c r="AX37" s="24"/>
      <c r="AY37" s="18"/>
    </row>
    <row r="38" spans="3:51" ht="15" x14ac:dyDescent="0.25">
      <c r="AJ38" s="17"/>
      <c r="AK38" s="13" t="s">
        <v>387</v>
      </c>
      <c r="AL38" s="24"/>
      <c r="AM38" s="24"/>
      <c r="AN38" s="24"/>
      <c r="AO38" s="24"/>
      <c r="AP38" s="24"/>
      <c r="AQ38" s="24"/>
      <c r="AR38" s="24"/>
      <c r="AS38" s="24"/>
      <c r="AT38" s="24"/>
      <c r="AU38" s="24"/>
      <c r="AV38" s="24"/>
      <c r="AW38" s="24"/>
      <c r="AX38" s="24"/>
      <c r="AY38" s="18"/>
    </row>
    <row r="39" spans="3:51" ht="15" x14ac:dyDescent="0.25">
      <c r="AJ39" s="17"/>
      <c r="AK39" s="13" t="s">
        <v>389</v>
      </c>
      <c r="AL39" s="24"/>
      <c r="AM39" s="24"/>
      <c r="AN39" s="24"/>
      <c r="AO39" s="24"/>
      <c r="AP39" s="24"/>
      <c r="AQ39" s="24"/>
      <c r="AR39" s="24"/>
      <c r="AS39" s="24"/>
      <c r="AT39" s="24"/>
      <c r="AU39" s="24"/>
      <c r="AV39" s="24"/>
      <c r="AW39" s="24"/>
      <c r="AX39" s="24"/>
      <c r="AY39" s="18"/>
    </row>
    <row r="40" spans="3:51" ht="15" x14ac:dyDescent="0.25">
      <c r="AJ40" s="17"/>
      <c r="AK40" s="13" t="s">
        <v>391</v>
      </c>
      <c r="AL40" s="24"/>
      <c r="AM40" s="24"/>
      <c r="AN40" s="24"/>
      <c r="AO40" s="24"/>
      <c r="AP40" s="24"/>
      <c r="AQ40" s="24"/>
      <c r="AR40" s="24"/>
      <c r="AS40" s="24"/>
      <c r="AT40" s="24"/>
      <c r="AU40" s="24"/>
      <c r="AV40" s="24"/>
      <c r="AW40" s="24"/>
      <c r="AX40" s="24"/>
      <c r="AY40" s="18"/>
    </row>
    <row r="41" spans="3:51" ht="15" x14ac:dyDescent="0.25">
      <c r="AJ41" s="17"/>
      <c r="AK41" s="13" t="s">
        <v>393</v>
      </c>
      <c r="AY41" s="18"/>
    </row>
    <row r="42" spans="3:51" ht="15" x14ac:dyDescent="0.25">
      <c r="AJ42" s="17"/>
      <c r="AK42" s="13" t="s">
        <v>383</v>
      </c>
      <c r="AY42" s="18"/>
    </row>
    <row r="43" spans="3:51" ht="15" x14ac:dyDescent="0.25">
      <c r="AJ43" s="17"/>
      <c r="AK43" s="13" t="s">
        <v>385</v>
      </c>
      <c r="AY43" s="18"/>
    </row>
    <row r="44" spans="3:51" ht="15" x14ac:dyDescent="0.25">
      <c r="C44" s="13" t="s">
        <v>395</v>
      </c>
      <c r="AJ44" s="17"/>
      <c r="AK44" s="13" t="s">
        <v>387</v>
      </c>
      <c r="AY44" s="18"/>
    </row>
    <row r="45" spans="3:51" ht="15" x14ac:dyDescent="0.25">
      <c r="D45" s="13" t="s">
        <v>397</v>
      </c>
      <c r="L45" s="13" t="s">
        <v>398</v>
      </c>
      <c r="AJ45" s="17"/>
      <c r="AK45" s="13" t="s">
        <v>389</v>
      </c>
      <c r="AY45" s="18"/>
    </row>
    <row r="46" spans="3:51" ht="15" x14ac:dyDescent="0.25">
      <c r="D46" s="13" t="s">
        <v>400</v>
      </c>
      <c r="L46" s="13" t="s">
        <v>401</v>
      </c>
      <c r="AJ46" s="17"/>
      <c r="AK46" s="13" t="s">
        <v>391</v>
      </c>
      <c r="AY46" s="18"/>
    </row>
    <row r="47" spans="3:51" ht="15" x14ac:dyDescent="0.25">
      <c r="D47" s="13" t="s">
        <v>403</v>
      </c>
      <c r="L47" s="13" t="s">
        <v>404</v>
      </c>
      <c r="AJ47" s="17"/>
      <c r="AK47" s="13" t="s">
        <v>405</v>
      </c>
      <c r="AY47" s="18"/>
    </row>
    <row r="48" spans="3:51" ht="15" x14ac:dyDescent="0.25">
      <c r="AJ48" s="17"/>
      <c r="AK48" s="13" t="s">
        <v>383</v>
      </c>
      <c r="AY48" s="18"/>
    </row>
    <row r="49" spans="2:51" ht="15" x14ac:dyDescent="0.25">
      <c r="B49" s="13" t="s">
        <v>407</v>
      </c>
      <c r="AJ49" s="17"/>
      <c r="AK49" s="13" t="s">
        <v>385</v>
      </c>
      <c r="AY49" s="18"/>
    </row>
    <row r="50" spans="2:51" ht="15" x14ac:dyDescent="0.25">
      <c r="C50" s="13" t="s">
        <v>409</v>
      </c>
      <c r="AJ50" s="17"/>
      <c r="AK50" s="13" t="s">
        <v>387</v>
      </c>
      <c r="AY50" s="18"/>
    </row>
    <row r="51" spans="2:51" ht="15" x14ac:dyDescent="0.25">
      <c r="C51" s="13" t="s">
        <v>411</v>
      </c>
      <c r="AJ51" s="17"/>
      <c r="AK51" s="13" t="s">
        <v>389</v>
      </c>
      <c r="AY51" s="18"/>
    </row>
    <row r="52" spans="2:51" ht="15" x14ac:dyDescent="0.25">
      <c r="AJ52" s="17"/>
      <c r="AK52" s="13" t="s">
        <v>391</v>
      </c>
      <c r="AY52" s="18"/>
    </row>
    <row r="53" spans="2:51" ht="15" x14ac:dyDescent="0.25">
      <c r="E53" s="22" t="s">
        <v>413</v>
      </c>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J53" s="17"/>
      <c r="AK53" s="13" t="s">
        <v>414</v>
      </c>
      <c r="AL53" s="24"/>
      <c r="AM53" s="24"/>
      <c r="AN53" s="24"/>
      <c r="AO53" s="24"/>
      <c r="AP53" s="24"/>
      <c r="AQ53" s="24"/>
      <c r="AR53" s="24"/>
      <c r="AS53" s="24"/>
      <c r="AT53" s="24"/>
      <c r="AU53" s="24"/>
      <c r="AV53" s="24"/>
      <c r="AW53" s="24"/>
      <c r="AX53" s="24"/>
      <c r="AY53" s="18"/>
    </row>
    <row r="54" spans="2:51" ht="15" x14ac:dyDescent="0.25">
      <c r="E54" s="22" t="s">
        <v>416</v>
      </c>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J54" s="17"/>
      <c r="AK54" s="13" t="s">
        <v>332</v>
      </c>
      <c r="AL54" s="24"/>
      <c r="AM54" s="24"/>
      <c r="AN54" s="24"/>
      <c r="AO54" s="24"/>
      <c r="AP54" s="24"/>
      <c r="AQ54" s="24"/>
      <c r="AR54" s="24"/>
      <c r="AS54" s="24"/>
      <c r="AT54" s="24"/>
      <c r="AU54" s="24"/>
      <c r="AV54" s="24"/>
      <c r="AW54" s="24"/>
      <c r="AX54" s="24"/>
      <c r="AY54" s="18"/>
    </row>
    <row r="55" spans="2:51" ht="15" x14ac:dyDescent="0.25">
      <c r="E55" s="22" t="s">
        <v>418</v>
      </c>
      <c r="F55" s="22"/>
      <c r="G55" s="22"/>
      <c r="H55" s="22"/>
      <c r="I55" s="22"/>
      <c r="J55" s="22"/>
      <c r="K55" s="22"/>
      <c r="L55" s="22"/>
      <c r="M55" s="22"/>
      <c r="N55" s="22"/>
      <c r="O55" s="22"/>
      <c r="P55" s="22"/>
      <c r="Q55" s="22"/>
      <c r="R55" s="22"/>
      <c r="S55" s="22"/>
      <c r="T55" s="25" t="s">
        <v>419</v>
      </c>
      <c r="U55" s="22"/>
      <c r="V55" s="22"/>
      <c r="W55" s="22"/>
      <c r="X55" s="22"/>
      <c r="Y55" s="22"/>
      <c r="Z55" s="22"/>
      <c r="AA55" s="22"/>
      <c r="AB55" s="22"/>
      <c r="AC55" s="22"/>
      <c r="AD55" s="22"/>
      <c r="AE55" s="22"/>
      <c r="AF55" s="22"/>
      <c r="AG55" s="22"/>
      <c r="AH55" s="22"/>
      <c r="AJ55" s="17"/>
      <c r="AK55" s="13" t="s">
        <v>420</v>
      </c>
      <c r="AY55" s="18"/>
    </row>
    <row r="56" spans="2:51" ht="15" x14ac:dyDescent="0.25">
      <c r="E56" s="22" t="s">
        <v>422</v>
      </c>
      <c r="F56" s="22"/>
      <c r="G56" s="22"/>
      <c r="H56" s="22"/>
      <c r="I56" s="22"/>
      <c r="J56" s="22"/>
      <c r="K56" s="22"/>
      <c r="L56" s="22"/>
      <c r="M56" s="22"/>
      <c r="N56" s="22"/>
      <c r="O56" s="22"/>
      <c r="P56" s="22"/>
      <c r="Q56" s="22"/>
      <c r="R56" s="22"/>
      <c r="S56" s="22"/>
      <c r="T56" s="25" t="s">
        <v>423</v>
      </c>
      <c r="U56" s="22"/>
      <c r="V56" s="22"/>
      <c r="W56" s="22"/>
      <c r="X56" s="22"/>
      <c r="Y56" s="22"/>
      <c r="Z56" s="22"/>
      <c r="AA56" s="22"/>
      <c r="AB56" s="22"/>
      <c r="AC56" s="22"/>
      <c r="AD56" s="22"/>
      <c r="AE56" s="22"/>
      <c r="AF56" s="22"/>
      <c r="AG56" s="22"/>
      <c r="AH56" s="22"/>
      <c r="AJ56" s="17"/>
      <c r="AK56" s="13" t="s">
        <v>332</v>
      </c>
      <c r="AY56" s="18"/>
    </row>
    <row r="57" spans="2:51" ht="15" x14ac:dyDescent="0.25">
      <c r="E57" s="22" t="s">
        <v>425</v>
      </c>
      <c r="F57" s="22"/>
      <c r="G57" s="22"/>
      <c r="H57" s="22"/>
      <c r="I57" s="22"/>
      <c r="J57" s="22"/>
      <c r="K57" s="22"/>
      <c r="L57" s="22"/>
      <c r="M57" s="22"/>
      <c r="N57" s="22"/>
      <c r="O57" s="22"/>
      <c r="P57" s="22"/>
      <c r="Q57" s="22"/>
      <c r="R57" s="22"/>
      <c r="S57" s="22"/>
      <c r="T57" s="26" t="s">
        <v>426</v>
      </c>
      <c r="U57" s="22"/>
      <c r="V57" s="22"/>
      <c r="W57" s="22"/>
      <c r="X57" s="22"/>
      <c r="Y57" s="22"/>
      <c r="Z57" s="22"/>
      <c r="AA57" s="22"/>
      <c r="AB57" s="22"/>
      <c r="AC57" s="22"/>
      <c r="AD57" s="22"/>
      <c r="AE57" s="22"/>
      <c r="AF57" s="22"/>
      <c r="AG57" s="22"/>
      <c r="AH57" s="22"/>
      <c r="AJ57" s="17"/>
      <c r="AK57" s="13" t="s">
        <v>427</v>
      </c>
      <c r="AY57" s="18"/>
    </row>
    <row r="58" spans="2:51" ht="15" x14ac:dyDescent="0.25">
      <c r="E58" s="22" t="s">
        <v>429</v>
      </c>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J58" s="17"/>
      <c r="AK58" s="13" t="s">
        <v>332</v>
      </c>
      <c r="AY58" s="18"/>
    </row>
    <row r="59" spans="2:51" ht="15" x14ac:dyDescent="0.25">
      <c r="E59" s="22" t="s">
        <v>431</v>
      </c>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J59" s="17"/>
      <c r="AK59" s="13" t="s">
        <v>432</v>
      </c>
      <c r="AY59" s="18"/>
    </row>
    <row r="60" spans="2:51" ht="15" x14ac:dyDescent="0.25">
      <c r="E60" s="22" t="s">
        <v>434</v>
      </c>
      <c r="F60" s="22"/>
      <c r="G60" s="22"/>
      <c r="H60" s="22"/>
      <c r="I60" s="22"/>
      <c r="J60" s="22"/>
      <c r="K60" s="22"/>
      <c r="L60" s="22"/>
      <c r="M60" s="22"/>
      <c r="N60" s="22"/>
      <c r="O60" s="22"/>
      <c r="P60" s="22"/>
      <c r="Q60" s="22"/>
      <c r="R60" s="22"/>
      <c r="S60" s="22"/>
      <c r="T60" s="26" t="s">
        <v>435</v>
      </c>
      <c r="U60" s="22"/>
      <c r="V60" s="22"/>
      <c r="W60" s="22"/>
      <c r="X60" s="22"/>
      <c r="Y60" s="22"/>
      <c r="Z60" s="22"/>
      <c r="AA60" s="22"/>
      <c r="AB60" s="22"/>
      <c r="AC60" s="22"/>
      <c r="AD60" s="22"/>
      <c r="AE60" s="22"/>
      <c r="AF60" s="22"/>
      <c r="AG60" s="22"/>
      <c r="AH60" s="22"/>
      <c r="AJ60" s="17"/>
      <c r="AK60" s="13" t="s">
        <v>332</v>
      </c>
      <c r="AY60" s="18"/>
    </row>
    <row r="61" spans="2:51" ht="15" x14ac:dyDescent="0.25">
      <c r="E61" s="22" t="s">
        <v>437</v>
      </c>
      <c r="F61" s="22"/>
      <c r="G61" s="22"/>
      <c r="H61" s="22"/>
      <c r="I61" s="22"/>
      <c r="J61" s="22"/>
      <c r="K61" s="22"/>
      <c r="L61" s="22"/>
      <c r="M61" s="22"/>
      <c r="N61" s="22"/>
      <c r="O61" s="22"/>
      <c r="P61" s="22"/>
      <c r="Q61" s="22"/>
      <c r="R61" s="22"/>
      <c r="S61" s="22"/>
      <c r="T61" s="25" t="s">
        <v>438</v>
      </c>
      <c r="U61" s="22"/>
      <c r="V61" s="22"/>
      <c r="W61" s="22"/>
      <c r="X61" s="22"/>
      <c r="Y61" s="22"/>
      <c r="Z61" s="22"/>
      <c r="AA61" s="22"/>
      <c r="AB61" s="22"/>
      <c r="AC61" s="22"/>
      <c r="AD61" s="22"/>
      <c r="AE61" s="22"/>
      <c r="AF61" s="22"/>
      <c r="AG61" s="22"/>
      <c r="AH61" s="22"/>
      <c r="AJ61" s="27"/>
      <c r="AK61" s="12"/>
      <c r="AL61" s="12"/>
      <c r="AM61" s="12"/>
      <c r="AN61" s="12"/>
      <c r="AO61" s="12"/>
      <c r="AP61" s="12"/>
      <c r="AQ61" s="12"/>
      <c r="AR61" s="12"/>
      <c r="AS61" s="12"/>
      <c r="AT61" s="12"/>
      <c r="AU61" s="12"/>
      <c r="AV61" s="12"/>
      <c r="AW61" s="12"/>
      <c r="AX61" s="12"/>
      <c r="AY61" s="28"/>
    </row>
    <row r="62" spans="2:51" ht="15" x14ac:dyDescent="0.25">
      <c r="E62" s="22" t="s">
        <v>440</v>
      </c>
      <c r="F62" s="22"/>
      <c r="G62" s="22"/>
      <c r="H62" s="22"/>
      <c r="I62" s="22"/>
      <c r="J62" s="22"/>
      <c r="K62" s="22"/>
      <c r="L62" s="22"/>
      <c r="M62" s="22"/>
      <c r="N62" s="22"/>
      <c r="O62" s="22"/>
      <c r="P62" s="22"/>
      <c r="Q62" s="22"/>
      <c r="R62" s="22"/>
      <c r="S62" s="22"/>
      <c r="T62" s="25" t="s">
        <v>441</v>
      </c>
      <c r="U62" s="22"/>
      <c r="V62" s="22"/>
      <c r="W62" s="22"/>
      <c r="X62" s="22"/>
      <c r="Y62" s="22"/>
      <c r="Z62" s="22"/>
      <c r="AA62" s="22"/>
      <c r="AB62" s="22"/>
      <c r="AC62" s="22"/>
      <c r="AD62" s="22"/>
      <c r="AE62" s="22"/>
      <c r="AF62" s="22"/>
      <c r="AG62" s="22"/>
      <c r="AH62" s="22"/>
    </row>
    <row r="63" spans="2:51" ht="15" x14ac:dyDescent="0.25">
      <c r="E63" s="22" t="s">
        <v>443</v>
      </c>
      <c r="F63" s="22"/>
      <c r="G63" s="22"/>
      <c r="H63" s="22"/>
      <c r="I63" s="22"/>
      <c r="J63" s="22"/>
      <c r="K63" s="22"/>
      <c r="L63" s="22"/>
      <c r="M63" s="22"/>
      <c r="N63" s="22"/>
      <c r="O63" s="22"/>
      <c r="P63" s="22"/>
      <c r="Q63" s="22"/>
      <c r="R63" s="22"/>
      <c r="S63" s="22"/>
      <c r="T63" s="25" t="s">
        <v>444</v>
      </c>
      <c r="U63" s="22"/>
      <c r="V63" s="22"/>
      <c r="W63" s="22"/>
      <c r="X63" s="22"/>
      <c r="Y63" s="22"/>
      <c r="Z63" s="22"/>
      <c r="AA63" s="22"/>
      <c r="AB63" s="22"/>
      <c r="AC63" s="22"/>
      <c r="AD63" s="22"/>
      <c r="AE63" s="22"/>
      <c r="AF63" s="22"/>
      <c r="AG63" s="22"/>
      <c r="AH63" s="22"/>
    </row>
    <row r="64" spans="2:51" ht="15" x14ac:dyDescent="0.25">
      <c r="E64" s="22" t="s">
        <v>446</v>
      </c>
      <c r="F64" s="22"/>
      <c r="G64" s="22"/>
      <c r="H64" s="22"/>
      <c r="I64" s="22"/>
      <c r="J64" s="22"/>
      <c r="K64" s="22"/>
      <c r="L64" s="22"/>
      <c r="M64" s="22"/>
      <c r="N64" s="22"/>
      <c r="O64" s="22"/>
      <c r="P64" s="22"/>
      <c r="Q64" s="22"/>
      <c r="R64" s="22"/>
      <c r="S64" s="22"/>
      <c r="T64" s="25" t="s">
        <v>447</v>
      </c>
      <c r="U64" s="22"/>
      <c r="V64" s="22"/>
      <c r="W64" s="22"/>
      <c r="X64" s="22"/>
      <c r="Y64" s="22"/>
      <c r="Z64" s="22"/>
      <c r="AA64" s="22"/>
      <c r="AB64" s="22"/>
      <c r="AC64" s="22"/>
      <c r="AD64" s="22"/>
      <c r="AE64" s="22"/>
      <c r="AF64" s="22"/>
      <c r="AG64" s="22"/>
      <c r="AH64" s="22"/>
    </row>
    <row r="65" spans="5:37" ht="15" x14ac:dyDescent="0.25">
      <c r="E65" s="22" t="s">
        <v>449</v>
      </c>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row>
    <row r="66" spans="5:37" ht="15" x14ac:dyDescent="0.25">
      <c r="E66" s="22" t="s">
        <v>451</v>
      </c>
      <c r="F66" s="22"/>
      <c r="G66" s="22"/>
      <c r="H66" s="22"/>
      <c r="I66" s="22"/>
      <c r="J66" s="22"/>
      <c r="K66" s="22"/>
      <c r="L66" s="22"/>
      <c r="M66" s="22"/>
      <c r="N66" s="22"/>
      <c r="O66" s="22"/>
      <c r="P66" s="22"/>
      <c r="Q66" s="22"/>
      <c r="R66" s="22"/>
      <c r="S66" s="22"/>
      <c r="T66" s="25" t="s">
        <v>452</v>
      </c>
      <c r="U66" s="22"/>
      <c r="V66" s="22"/>
      <c r="W66" s="22"/>
      <c r="X66" s="22"/>
      <c r="Y66" s="22"/>
      <c r="Z66" s="22"/>
      <c r="AA66" s="22"/>
      <c r="AB66" s="22"/>
      <c r="AC66" s="22"/>
      <c r="AD66" s="22"/>
      <c r="AE66" s="22"/>
      <c r="AF66" s="22"/>
      <c r="AG66" s="22"/>
      <c r="AH66" s="22"/>
    </row>
    <row r="67" spans="5:37" ht="15" x14ac:dyDescent="0.25">
      <c r="E67" s="22" t="s">
        <v>454</v>
      </c>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row>
    <row r="68" spans="5:37" ht="15" x14ac:dyDescent="0.25">
      <c r="E68" s="22" t="s">
        <v>456</v>
      </c>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row>
    <row r="69" spans="5:37" ht="15" x14ac:dyDescent="0.25">
      <c r="E69" s="22" t="s">
        <v>458</v>
      </c>
      <c r="F69" s="22"/>
      <c r="G69" s="22"/>
      <c r="H69" s="22"/>
      <c r="I69" s="22"/>
      <c r="J69" s="22"/>
      <c r="K69" s="22"/>
      <c r="L69" s="22"/>
      <c r="M69" s="22"/>
      <c r="N69" s="22"/>
      <c r="O69" s="22"/>
      <c r="P69" s="22"/>
      <c r="Q69" s="22"/>
      <c r="R69" s="22"/>
      <c r="S69" s="22"/>
      <c r="T69" s="25" t="s">
        <v>459</v>
      </c>
      <c r="U69" s="22"/>
      <c r="V69" s="22"/>
      <c r="W69" s="22"/>
      <c r="X69" s="22"/>
      <c r="Y69" s="22"/>
      <c r="Z69" s="22"/>
      <c r="AA69" s="22"/>
      <c r="AB69" s="22"/>
      <c r="AC69" s="22"/>
      <c r="AD69" s="22"/>
      <c r="AE69" s="22"/>
      <c r="AF69" s="22"/>
      <c r="AG69" s="22"/>
      <c r="AH69" s="22"/>
    </row>
    <row r="70" spans="5:37" ht="15" x14ac:dyDescent="0.25">
      <c r="E70" s="22" t="s">
        <v>461</v>
      </c>
      <c r="F70" s="22"/>
      <c r="G70" s="22"/>
      <c r="H70" s="22"/>
      <c r="I70" s="22"/>
      <c r="J70" s="22"/>
      <c r="K70" s="22"/>
      <c r="L70" s="22"/>
      <c r="M70" s="22"/>
      <c r="N70" s="22"/>
      <c r="O70" s="22"/>
      <c r="P70" s="22"/>
      <c r="Q70" s="22"/>
      <c r="R70" s="22"/>
      <c r="S70" s="22"/>
      <c r="T70" s="22"/>
      <c r="U70" s="22"/>
      <c r="V70" s="22"/>
      <c r="W70" s="22"/>
      <c r="X70" s="22"/>
      <c r="Y70" s="22"/>
      <c r="Z70" s="22"/>
      <c r="AA70" s="22"/>
      <c r="AB70" s="26" t="s">
        <v>462</v>
      </c>
      <c r="AC70" s="22"/>
      <c r="AD70" s="22"/>
      <c r="AE70" s="22"/>
      <c r="AF70" s="22"/>
      <c r="AG70" s="22"/>
      <c r="AH70" s="22"/>
    </row>
    <row r="71" spans="5:37" ht="15" x14ac:dyDescent="0.25">
      <c r="E71" s="22" t="s">
        <v>464</v>
      </c>
      <c r="F71" s="22"/>
      <c r="G71" s="22"/>
      <c r="H71" s="22"/>
      <c r="I71" s="22"/>
      <c r="J71" s="22"/>
      <c r="K71" s="22"/>
      <c r="L71" s="22"/>
      <c r="M71" s="22"/>
      <c r="N71" s="22"/>
      <c r="O71" s="22"/>
      <c r="P71" s="22"/>
      <c r="Q71" s="22"/>
      <c r="R71" s="22"/>
      <c r="S71" s="22"/>
      <c r="T71" s="22"/>
      <c r="U71" s="22"/>
      <c r="V71" s="22"/>
      <c r="W71" s="22"/>
      <c r="X71" s="22"/>
      <c r="Y71" s="22"/>
      <c r="Z71" s="22"/>
      <c r="AA71" s="22"/>
      <c r="AB71" s="26" t="s">
        <v>465</v>
      </c>
      <c r="AC71" s="22"/>
      <c r="AD71" s="22"/>
      <c r="AE71" s="22"/>
      <c r="AF71" s="22"/>
      <c r="AG71" s="22"/>
      <c r="AH71" s="22"/>
    </row>
    <row r="72" spans="5:37" ht="15" x14ac:dyDescent="0.25">
      <c r="E72" s="22" t="s">
        <v>467</v>
      </c>
      <c r="F72" s="22"/>
      <c r="G72" s="22"/>
      <c r="H72" s="22"/>
      <c r="I72" s="22"/>
      <c r="J72" s="22"/>
      <c r="K72" s="22"/>
      <c r="L72" s="22"/>
      <c r="M72" s="22"/>
      <c r="N72" s="22"/>
      <c r="O72" s="22"/>
      <c r="P72" s="22"/>
      <c r="Q72" s="22"/>
      <c r="R72" s="22"/>
      <c r="S72" s="22"/>
      <c r="T72" s="22"/>
      <c r="U72" s="22"/>
      <c r="V72" s="22"/>
      <c r="W72" s="22"/>
      <c r="X72" s="22"/>
      <c r="Y72" s="22"/>
      <c r="Z72" s="22"/>
      <c r="AA72" s="22"/>
      <c r="AB72" s="26" t="s">
        <v>468</v>
      </c>
      <c r="AC72" s="22"/>
      <c r="AD72" s="22"/>
      <c r="AE72" s="22"/>
      <c r="AF72" s="22"/>
      <c r="AG72" s="22"/>
      <c r="AH72" s="22"/>
    </row>
    <row r="73" spans="5:37" ht="15" x14ac:dyDescent="0.25">
      <c r="E73" s="22" t="s">
        <v>470</v>
      </c>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5" t="s">
        <v>452</v>
      </c>
      <c r="AF73" s="22"/>
      <c r="AG73" s="22"/>
      <c r="AH73" s="22"/>
    </row>
    <row r="74" spans="5:37" ht="15" x14ac:dyDescent="0.25">
      <c r="E74" s="22" t="s">
        <v>472</v>
      </c>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5" t="s">
        <v>452</v>
      </c>
      <c r="AF74" s="22"/>
      <c r="AG74" s="22"/>
      <c r="AH74" s="22"/>
    </row>
    <row r="75" spans="5:37" ht="15" x14ac:dyDescent="0.25">
      <c r="E75" s="22" t="s">
        <v>474</v>
      </c>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row>
    <row r="76" spans="5:37" ht="15" x14ac:dyDescent="0.25">
      <c r="E76" s="22"/>
      <c r="F76" s="22"/>
      <c r="G76" s="22"/>
      <c r="H76" s="25" t="s">
        <v>476</v>
      </c>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K76" s="13" t="s">
        <v>477</v>
      </c>
    </row>
    <row r="77" spans="5:37" ht="15" x14ac:dyDescent="0.25">
      <c r="E77" s="22" t="s">
        <v>479</v>
      </c>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K77" s="13" t="s">
        <v>480</v>
      </c>
    </row>
    <row r="78" spans="5:37" ht="15" x14ac:dyDescent="0.25">
      <c r="E78" s="22" t="s">
        <v>482</v>
      </c>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K78" s="13" t="s">
        <v>483</v>
      </c>
    </row>
    <row r="79" spans="5:37" ht="15" x14ac:dyDescent="0.25">
      <c r="E79" s="22" t="s">
        <v>485</v>
      </c>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K79" s="13" t="s">
        <v>486</v>
      </c>
    </row>
  </sheetData>
  <phoneticPr fontId="13"/>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S79"/>
  <sheetViews>
    <sheetView workbookViewId="0"/>
  </sheetViews>
  <sheetFormatPr defaultRowHeight="13.5" x14ac:dyDescent="0.15"/>
  <cols>
    <col min="1" max="1" width="2.125" customWidth="1"/>
    <col min="2" max="3" width="13" customWidth="1"/>
    <col min="4" max="4" width="3.25" customWidth="1"/>
    <col min="5" max="5" width="19.25" customWidth="1"/>
    <col min="6" max="6" width="3.25" customWidth="1"/>
    <col min="7" max="8" width="13" customWidth="1"/>
    <col min="9" max="9" width="2.125" customWidth="1"/>
    <col min="10" max="70" width="13" customWidth="1"/>
  </cols>
  <sheetData>
    <row r="1" spans="1:71" ht="28.9" customHeight="1" x14ac:dyDescent="0.45">
      <c r="A1" s="11" t="s">
        <v>270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row>
    <row r="3" spans="1:71" ht="15" x14ac:dyDescent="0.25">
      <c r="B3" s="13" t="s">
        <v>273</v>
      </c>
      <c r="BA3" s="13" t="s">
        <v>274</v>
      </c>
    </row>
    <row r="4" spans="1:71" ht="15" x14ac:dyDescent="0.25">
      <c r="C4" s="13" t="s">
        <v>276</v>
      </c>
      <c r="AJ4" s="14" t="s">
        <v>277</v>
      </c>
      <c r="AK4" s="15"/>
      <c r="AL4" s="15"/>
      <c r="AM4" s="15"/>
      <c r="AN4" s="15"/>
      <c r="AO4" s="15"/>
      <c r="AP4" s="15"/>
      <c r="AQ4" s="15"/>
      <c r="AR4" s="15"/>
      <c r="AS4" s="15"/>
      <c r="AT4" s="15"/>
      <c r="AU4" s="15"/>
      <c r="AV4" s="15"/>
      <c r="AW4" s="15"/>
      <c r="AX4" s="15"/>
      <c r="AY4" s="16"/>
      <c r="BB4" s="13" t="s">
        <v>278</v>
      </c>
    </row>
    <row r="5" spans="1:71" ht="15" x14ac:dyDescent="0.25">
      <c r="AJ5" s="17"/>
      <c r="AK5" s="13" t="s">
        <v>280</v>
      </c>
      <c r="AY5" s="18"/>
      <c r="BB5" s="13" t="s">
        <v>281</v>
      </c>
    </row>
    <row r="6" spans="1:71" ht="15" x14ac:dyDescent="0.25">
      <c r="C6" s="13" t="s">
        <v>285</v>
      </c>
      <c r="R6" s="13" t="s">
        <v>286</v>
      </c>
      <c r="AJ6" s="17"/>
      <c r="AK6" s="13" t="s">
        <v>287</v>
      </c>
      <c r="AY6" s="18"/>
      <c r="BC6" s="13" t="s">
        <v>289</v>
      </c>
    </row>
    <row r="7" spans="1:71" ht="15" x14ac:dyDescent="0.25">
      <c r="AJ7" s="17"/>
      <c r="AK7" s="13" t="s">
        <v>292</v>
      </c>
      <c r="AY7" s="18"/>
      <c r="BC7" s="13" t="s">
        <v>293</v>
      </c>
    </row>
    <row r="8" spans="1:71" ht="15" x14ac:dyDescent="0.25">
      <c r="AJ8" s="17"/>
      <c r="AK8" s="13" t="s">
        <v>297</v>
      </c>
      <c r="AL8" s="20"/>
      <c r="AM8" s="20"/>
      <c r="AN8" s="20"/>
      <c r="AO8" s="20"/>
      <c r="AP8" s="20"/>
      <c r="AQ8" s="20"/>
      <c r="AR8" s="20"/>
      <c r="AS8" s="20"/>
      <c r="AT8" s="20"/>
      <c r="AU8" s="20"/>
      <c r="AV8" s="20"/>
      <c r="AW8" s="20"/>
      <c r="AX8" s="20"/>
      <c r="AY8" s="18"/>
      <c r="BC8" s="13" t="s">
        <v>299</v>
      </c>
    </row>
    <row r="9" spans="1:71" ht="15" x14ac:dyDescent="0.25">
      <c r="AJ9" s="17"/>
      <c r="AK9" s="13" t="s">
        <v>304</v>
      </c>
      <c r="AL9" s="20"/>
      <c r="AM9" s="20"/>
      <c r="AN9" s="20"/>
      <c r="AO9" s="20"/>
      <c r="AP9" s="20"/>
      <c r="AQ9" s="20"/>
      <c r="AR9" s="20"/>
      <c r="AS9" s="20"/>
      <c r="AT9" s="20"/>
      <c r="AU9" s="20"/>
      <c r="AV9" s="20"/>
      <c r="AW9" s="20"/>
      <c r="AX9" s="20"/>
      <c r="AY9" s="18"/>
      <c r="BC9" s="13" t="s">
        <v>306</v>
      </c>
    </row>
    <row r="10" spans="1:71" ht="15" x14ac:dyDescent="0.25">
      <c r="AJ10" s="17"/>
      <c r="AK10" s="13" t="s">
        <v>311</v>
      </c>
      <c r="AL10" s="20"/>
      <c r="AM10" s="20"/>
      <c r="AN10" s="20"/>
      <c r="AO10" s="20"/>
      <c r="AP10" s="20"/>
      <c r="AQ10" s="20"/>
      <c r="AR10" s="20"/>
      <c r="AS10" s="20"/>
      <c r="AT10" s="20"/>
      <c r="AU10" s="20"/>
      <c r="AV10" s="20"/>
      <c r="AW10" s="20"/>
      <c r="AX10" s="20"/>
      <c r="AY10" s="18"/>
      <c r="BC10" s="13" t="s">
        <v>298</v>
      </c>
    </row>
    <row r="11" spans="1:71" ht="15" x14ac:dyDescent="0.25">
      <c r="AJ11" s="17"/>
      <c r="AK11" s="13" t="s">
        <v>317</v>
      </c>
      <c r="AL11" s="20"/>
      <c r="AM11" s="20"/>
      <c r="AN11" s="20"/>
      <c r="AO11" s="20"/>
      <c r="AP11" s="20"/>
      <c r="AQ11" s="20"/>
      <c r="AR11" s="20"/>
      <c r="AS11" s="20"/>
      <c r="AT11" s="20"/>
      <c r="AU11" s="20"/>
      <c r="AV11" s="20"/>
      <c r="AW11" s="20"/>
      <c r="AX11" s="20"/>
      <c r="AY11" s="18"/>
      <c r="BC11" s="13" t="s">
        <v>305</v>
      </c>
    </row>
    <row r="12" spans="1:71" ht="15" x14ac:dyDescent="0.25">
      <c r="C12" s="13" t="s">
        <v>322</v>
      </c>
      <c r="AJ12" s="17"/>
      <c r="AK12" s="13" t="s">
        <v>323</v>
      </c>
      <c r="AL12" s="20"/>
      <c r="AM12" s="20"/>
      <c r="AN12" s="20"/>
      <c r="AO12" s="20"/>
      <c r="AP12" s="20"/>
      <c r="AQ12" s="20"/>
      <c r="AR12" s="20"/>
      <c r="AS12" s="20"/>
      <c r="AT12" s="20"/>
      <c r="AU12" s="20"/>
      <c r="AV12" s="20"/>
      <c r="AW12" s="20"/>
      <c r="AX12" s="20"/>
      <c r="AY12" s="18"/>
      <c r="BC12" s="13" t="s">
        <v>312</v>
      </c>
    </row>
    <row r="13" spans="1:71" ht="15" x14ac:dyDescent="0.25">
      <c r="AJ13" s="17"/>
      <c r="AK13" s="13" t="s">
        <v>326</v>
      </c>
      <c r="AL13" s="20"/>
      <c r="AM13" s="20"/>
      <c r="AN13" s="20"/>
      <c r="AO13" s="20"/>
      <c r="AP13" s="20"/>
      <c r="AQ13" s="20"/>
      <c r="AR13" s="20"/>
      <c r="AS13" s="20"/>
      <c r="AT13" s="20"/>
      <c r="AU13" s="20"/>
      <c r="AV13" s="20"/>
      <c r="AW13" s="20"/>
      <c r="AX13" s="20"/>
      <c r="AY13" s="18"/>
      <c r="BB13" s="13" t="s">
        <v>327</v>
      </c>
    </row>
    <row r="14" spans="1:71" ht="15" x14ac:dyDescent="0.25">
      <c r="AJ14" s="17"/>
      <c r="AK14" s="13" t="s">
        <v>329</v>
      </c>
      <c r="AL14" s="20"/>
      <c r="AM14" s="20"/>
      <c r="AN14" s="20"/>
      <c r="AO14" s="20"/>
      <c r="AP14" s="20"/>
      <c r="AQ14" s="20"/>
      <c r="AR14" s="20"/>
      <c r="AS14" s="20"/>
      <c r="AT14" s="20"/>
      <c r="AU14" s="20"/>
      <c r="AV14" s="20"/>
      <c r="AW14" s="20"/>
      <c r="AX14" s="20"/>
      <c r="AY14" s="18"/>
      <c r="BB14" s="13" t="s">
        <v>330</v>
      </c>
    </row>
    <row r="15" spans="1:71" ht="15" x14ac:dyDescent="0.25">
      <c r="AJ15" s="17"/>
      <c r="AK15" s="13" t="s">
        <v>332</v>
      </c>
      <c r="AL15" s="20"/>
      <c r="AM15" s="20"/>
      <c r="AN15" s="20"/>
      <c r="AO15" s="20"/>
      <c r="AP15" s="20"/>
      <c r="AQ15" s="20"/>
      <c r="AR15" s="20"/>
      <c r="AS15" s="20"/>
      <c r="AT15" s="20"/>
      <c r="AU15" s="20"/>
      <c r="AV15" s="20"/>
      <c r="AW15" s="20"/>
      <c r="AX15" s="20"/>
      <c r="AY15" s="18"/>
      <c r="BB15" s="21" t="s">
        <v>333</v>
      </c>
    </row>
    <row r="16" spans="1:71" ht="15" x14ac:dyDescent="0.25">
      <c r="AJ16" s="17"/>
      <c r="AK16" s="13" t="s">
        <v>335</v>
      </c>
      <c r="AY16" s="18"/>
      <c r="BB16" s="13" t="s">
        <v>336</v>
      </c>
    </row>
    <row r="17" spans="2:54" ht="15" x14ac:dyDescent="0.25">
      <c r="AJ17" s="17"/>
      <c r="AK17" s="13" t="s">
        <v>338</v>
      </c>
      <c r="AL17" s="22"/>
      <c r="AM17" s="22"/>
      <c r="AN17" s="22"/>
      <c r="AO17" s="22"/>
      <c r="AP17" s="22"/>
      <c r="AQ17" s="22"/>
      <c r="AR17" s="22"/>
      <c r="AS17" s="22"/>
      <c r="AT17" s="22"/>
      <c r="AU17" s="22"/>
      <c r="AV17" s="22"/>
      <c r="AW17" s="22"/>
      <c r="AX17" s="22"/>
      <c r="AY17" s="18"/>
    </row>
    <row r="18" spans="2:54" ht="15" x14ac:dyDescent="0.25">
      <c r="AJ18" s="17"/>
      <c r="AK18" s="13" t="s">
        <v>304</v>
      </c>
      <c r="AL18" s="22"/>
      <c r="AM18" s="22"/>
      <c r="AN18" s="22"/>
      <c r="AO18" s="22"/>
      <c r="AP18" s="22"/>
      <c r="AQ18" s="22"/>
      <c r="AR18" s="22"/>
      <c r="AS18" s="22"/>
      <c r="AT18" s="22"/>
      <c r="AU18" s="22"/>
      <c r="AV18" s="22"/>
      <c r="AW18" s="22"/>
      <c r="AX18" s="22"/>
      <c r="AY18" s="18"/>
      <c r="BB18" s="13" t="s">
        <v>340</v>
      </c>
    </row>
    <row r="19" spans="2:54" ht="15" x14ac:dyDescent="0.25">
      <c r="AJ19" s="17"/>
      <c r="AK19" s="13" t="s">
        <v>311</v>
      </c>
      <c r="AL19" s="22"/>
      <c r="AM19" s="22"/>
      <c r="AN19" s="22"/>
      <c r="AO19" s="22"/>
      <c r="AP19" s="22"/>
      <c r="AQ19" s="22"/>
      <c r="AR19" s="22"/>
      <c r="AS19" s="22"/>
      <c r="AT19" s="22"/>
      <c r="AU19" s="22"/>
      <c r="AV19" s="22"/>
      <c r="AW19" s="22"/>
      <c r="AX19" s="22"/>
      <c r="AY19" s="18"/>
      <c r="BB19" s="13" t="s">
        <v>342</v>
      </c>
    </row>
    <row r="20" spans="2:54" ht="15" x14ac:dyDescent="0.25">
      <c r="AJ20" s="17"/>
      <c r="AK20" s="13" t="s">
        <v>317</v>
      </c>
      <c r="AL20" s="22"/>
      <c r="AM20" s="22"/>
      <c r="AN20" s="22"/>
      <c r="AO20" s="22"/>
      <c r="AP20" s="22"/>
      <c r="AQ20" s="22"/>
      <c r="AR20" s="22"/>
      <c r="AS20" s="22"/>
      <c r="AT20" s="22"/>
      <c r="AU20" s="22"/>
      <c r="AV20" s="22"/>
      <c r="AW20" s="22"/>
      <c r="AX20" s="22"/>
      <c r="AY20" s="18"/>
      <c r="BB20" s="13" t="s">
        <v>344</v>
      </c>
    </row>
    <row r="21" spans="2:54" ht="15" x14ac:dyDescent="0.25">
      <c r="B21" s="13" t="s">
        <v>346</v>
      </c>
      <c r="AJ21" s="17"/>
      <c r="AK21" s="13" t="s">
        <v>323</v>
      </c>
      <c r="AL21" s="22"/>
      <c r="AM21" s="22"/>
      <c r="AN21" s="22"/>
      <c r="AO21" s="22"/>
      <c r="AP21" s="22"/>
      <c r="AQ21" s="22"/>
      <c r="AR21" s="22"/>
      <c r="AS21" s="22"/>
      <c r="AT21" s="22"/>
      <c r="AU21" s="22"/>
      <c r="AV21" s="22"/>
      <c r="AW21" s="22"/>
      <c r="AX21" s="22"/>
      <c r="AY21" s="18"/>
    </row>
    <row r="22" spans="2:54" ht="15" x14ac:dyDescent="0.25">
      <c r="C22" s="13" t="s">
        <v>348</v>
      </c>
      <c r="AJ22" s="17"/>
      <c r="AK22" s="13" t="s">
        <v>326</v>
      </c>
      <c r="AL22" s="22"/>
      <c r="AM22" s="22"/>
      <c r="AN22" s="22"/>
      <c r="AO22" s="22"/>
      <c r="AP22" s="22"/>
      <c r="AQ22" s="22"/>
      <c r="AR22" s="22"/>
      <c r="AS22" s="22"/>
      <c r="AT22" s="22"/>
      <c r="AU22" s="22"/>
      <c r="AV22" s="22"/>
      <c r="AW22" s="22"/>
      <c r="AX22" s="22"/>
      <c r="AY22" s="18"/>
      <c r="BB22" s="13" t="s">
        <v>349</v>
      </c>
    </row>
    <row r="23" spans="2:54" ht="15" x14ac:dyDescent="0.25">
      <c r="D23" s="13" t="s">
        <v>351</v>
      </c>
      <c r="AJ23" s="17"/>
      <c r="AK23" s="13" t="s">
        <v>329</v>
      </c>
      <c r="AL23" s="22"/>
      <c r="AM23" s="22"/>
      <c r="AN23" s="22"/>
      <c r="AO23" s="22"/>
      <c r="AP23" s="22"/>
      <c r="AQ23" s="22"/>
      <c r="AR23" s="22"/>
      <c r="AS23" s="22"/>
      <c r="AT23" s="22"/>
      <c r="AU23" s="22"/>
      <c r="AV23" s="22"/>
      <c r="AW23" s="22"/>
      <c r="AX23" s="22"/>
      <c r="AY23" s="18"/>
      <c r="BB23" s="13" t="s">
        <v>352</v>
      </c>
    </row>
    <row r="24" spans="2:54" ht="15" x14ac:dyDescent="0.25">
      <c r="D24" s="13" t="s">
        <v>354</v>
      </c>
      <c r="AJ24" s="17"/>
      <c r="AK24" s="13" t="s">
        <v>332</v>
      </c>
      <c r="AL24" s="22"/>
      <c r="AM24" s="22"/>
      <c r="AN24" s="22"/>
      <c r="AO24" s="22"/>
      <c r="AP24" s="22"/>
      <c r="AQ24" s="22"/>
      <c r="AR24" s="22"/>
      <c r="AS24" s="22"/>
      <c r="AT24" s="22"/>
      <c r="AU24" s="22"/>
      <c r="AV24" s="22"/>
      <c r="AW24" s="22"/>
      <c r="AX24" s="22"/>
      <c r="AY24" s="18"/>
      <c r="BB24" s="13" t="s">
        <v>355</v>
      </c>
    </row>
    <row r="25" spans="2:54" ht="15" x14ac:dyDescent="0.25">
      <c r="D25" s="13" t="s">
        <v>357</v>
      </c>
      <c r="AJ25" s="17"/>
      <c r="AK25" s="13" t="s">
        <v>358</v>
      </c>
      <c r="AL25" s="23"/>
      <c r="AM25" s="23"/>
      <c r="AN25" s="23"/>
      <c r="AO25" s="23"/>
      <c r="AP25" s="23"/>
      <c r="AQ25" s="23"/>
      <c r="AR25" s="23"/>
      <c r="AS25" s="23"/>
      <c r="AT25" s="23"/>
      <c r="AU25" s="23"/>
      <c r="AV25" s="23"/>
      <c r="AW25" s="23"/>
      <c r="AX25" s="23"/>
      <c r="AY25" s="18"/>
      <c r="BB25" s="13" t="s">
        <v>359</v>
      </c>
    </row>
    <row r="26" spans="2:54" ht="15" x14ac:dyDescent="0.25">
      <c r="D26" s="13" t="s">
        <v>361</v>
      </c>
      <c r="AJ26" s="17"/>
      <c r="AK26" s="13" t="s">
        <v>304</v>
      </c>
      <c r="AL26" s="23"/>
      <c r="AM26" s="23"/>
      <c r="AN26" s="23"/>
      <c r="AO26" s="23"/>
      <c r="AP26" s="23"/>
      <c r="AQ26" s="23"/>
      <c r="AR26" s="23"/>
      <c r="AS26" s="23"/>
      <c r="AT26" s="23"/>
      <c r="AU26" s="23"/>
      <c r="AV26" s="23"/>
      <c r="AW26" s="23"/>
      <c r="AX26" s="23"/>
      <c r="AY26" s="18"/>
    </row>
    <row r="27" spans="2:54" ht="15" x14ac:dyDescent="0.25">
      <c r="D27" s="13" t="s">
        <v>363</v>
      </c>
      <c r="AJ27" s="17"/>
      <c r="AK27" s="13" t="s">
        <v>311</v>
      </c>
      <c r="AL27" s="23"/>
      <c r="AM27" s="23"/>
      <c r="AN27" s="23"/>
      <c r="AO27" s="23"/>
      <c r="AP27" s="23"/>
      <c r="AQ27" s="23"/>
      <c r="AR27" s="23"/>
      <c r="AS27" s="23"/>
      <c r="AT27" s="23"/>
      <c r="AU27" s="23"/>
      <c r="AV27" s="23"/>
      <c r="AW27" s="23"/>
      <c r="AX27" s="23"/>
      <c r="AY27" s="18"/>
      <c r="BB27" s="21" t="s">
        <v>364</v>
      </c>
    </row>
    <row r="28" spans="2:54" ht="15" x14ac:dyDescent="0.25">
      <c r="D28" s="13" t="s">
        <v>366</v>
      </c>
      <c r="AJ28" s="17"/>
      <c r="AK28" s="13" t="s">
        <v>317</v>
      </c>
      <c r="AL28" s="23"/>
      <c r="AM28" s="23"/>
      <c r="AN28" s="23"/>
      <c r="AO28" s="23"/>
      <c r="AP28" s="23"/>
      <c r="AQ28" s="23"/>
      <c r="AR28" s="23"/>
      <c r="AS28" s="23"/>
      <c r="AT28" s="23"/>
      <c r="AU28" s="23"/>
      <c r="AV28" s="23"/>
      <c r="AW28" s="23"/>
      <c r="AX28" s="23"/>
      <c r="AY28" s="18"/>
    </row>
    <row r="29" spans="2:54" ht="15" x14ac:dyDescent="0.25">
      <c r="D29" s="13" t="s">
        <v>368</v>
      </c>
      <c r="AJ29" s="17"/>
      <c r="AK29" s="13" t="s">
        <v>323</v>
      </c>
      <c r="AL29" s="23"/>
      <c r="AM29" s="23"/>
      <c r="AN29" s="23"/>
      <c r="AO29" s="23"/>
      <c r="AP29" s="23"/>
      <c r="AQ29" s="23"/>
      <c r="AR29" s="23"/>
      <c r="AS29" s="23"/>
      <c r="AT29" s="23"/>
      <c r="AU29" s="23"/>
      <c r="AV29" s="23"/>
      <c r="AW29" s="23"/>
      <c r="AX29" s="23"/>
      <c r="AY29" s="18"/>
      <c r="BB29" s="13" t="s">
        <v>369</v>
      </c>
    </row>
    <row r="30" spans="2:54" ht="15" x14ac:dyDescent="0.25">
      <c r="AJ30" s="17"/>
      <c r="AK30" s="13" t="s">
        <v>326</v>
      </c>
      <c r="AL30" s="23"/>
      <c r="AM30" s="23"/>
      <c r="AN30" s="23"/>
      <c r="AO30" s="23"/>
      <c r="AP30" s="23"/>
      <c r="AQ30" s="23"/>
      <c r="AR30" s="23"/>
      <c r="AS30" s="23"/>
      <c r="AT30" s="23"/>
      <c r="AU30" s="23"/>
      <c r="AV30" s="23"/>
      <c r="AW30" s="23"/>
      <c r="AX30" s="23"/>
      <c r="AY30" s="18"/>
      <c r="BB30" s="21" t="s">
        <v>371</v>
      </c>
    </row>
    <row r="31" spans="2:54" ht="15" x14ac:dyDescent="0.25">
      <c r="C31" s="13" t="s">
        <v>373</v>
      </c>
      <c r="AJ31" s="17"/>
      <c r="AK31" s="13" t="s">
        <v>329</v>
      </c>
      <c r="AL31" s="23"/>
      <c r="AM31" s="23"/>
      <c r="AN31" s="23"/>
      <c r="AO31" s="23"/>
      <c r="AP31" s="23"/>
      <c r="AQ31" s="23"/>
      <c r="AR31" s="23"/>
      <c r="AS31" s="23"/>
      <c r="AT31" s="23"/>
      <c r="AU31" s="23"/>
      <c r="AV31" s="23"/>
      <c r="AW31" s="23"/>
      <c r="AX31" s="23"/>
      <c r="AY31" s="18"/>
    </row>
    <row r="32" spans="2:54" ht="15" x14ac:dyDescent="0.25">
      <c r="AJ32" s="17"/>
      <c r="AK32" s="13" t="s">
        <v>332</v>
      </c>
      <c r="AL32" s="23"/>
      <c r="AM32" s="23"/>
      <c r="AN32" s="23"/>
      <c r="AO32" s="23"/>
      <c r="AP32" s="23"/>
      <c r="AQ32" s="23"/>
      <c r="AR32" s="23"/>
      <c r="AS32" s="23"/>
      <c r="AT32" s="23"/>
      <c r="AU32" s="23"/>
      <c r="AV32" s="23"/>
      <c r="AW32" s="23"/>
      <c r="AX32" s="23"/>
      <c r="AY32" s="18"/>
      <c r="BB32" s="13" t="s">
        <v>375</v>
      </c>
    </row>
    <row r="33" spans="3:51" ht="15" x14ac:dyDescent="0.25">
      <c r="AJ33" s="17"/>
      <c r="AK33" s="13" t="s">
        <v>377</v>
      </c>
      <c r="AY33" s="18"/>
    </row>
    <row r="34" spans="3:51" ht="15" x14ac:dyDescent="0.25">
      <c r="AJ34" s="17"/>
      <c r="AK34" s="13" t="s">
        <v>379</v>
      </c>
      <c r="AY34" s="18"/>
    </row>
    <row r="35" spans="3:51" ht="15" x14ac:dyDescent="0.25">
      <c r="AJ35" s="17"/>
      <c r="AK35" s="13" t="s">
        <v>381</v>
      </c>
      <c r="AL35" s="24"/>
      <c r="AM35" s="24"/>
      <c r="AN35" s="24"/>
      <c r="AO35" s="24"/>
      <c r="AP35" s="24"/>
      <c r="AQ35" s="24"/>
      <c r="AR35" s="24"/>
      <c r="AS35" s="24"/>
      <c r="AT35" s="24"/>
      <c r="AU35" s="24"/>
      <c r="AV35" s="24"/>
      <c r="AW35" s="24"/>
      <c r="AX35" s="24"/>
      <c r="AY35" s="18"/>
    </row>
    <row r="36" spans="3:51" ht="15" x14ac:dyDescent="0.25">
      <c r="AJ36" s="17"/>
      <c r="AK36" s="13" t="s">
        <v>383</v>
      </c>
      <c r="AL36" s="24"/>
      <c r="AM36" s="24"/>
      <c r="AN36" s="24"/>
      <c r="AO36" s="24"/>
      <c r="AP36" s="24"/>
      <c r="AQ36" s="24"/>
      <c r="AR36" s="24"/>
      <c r="AS36" s="24"/>
      <c r="AT36" s="24"/>
      <c r="AU36" s="24"/>
      <c r="AV36" s="24"/>
      <c r="AW36" s="24"/>
      <c r="AX36" s="24"/>
      <c r="AY36" s="18"/>
    </row>
    <row r="37" spans="3:51" ht="15" x14ac:dyDescent="0.25">
      <c r="AJ37" s="17"/>
      <c r="AK37" s="13" t="s">
        <v>385</v>
      </c>
      <c r="AL37" s="24"/>
      <c r="AM37" s="24"/>
      <c r="AN37" s="24"/>
      <c r="AO37" s="24"/>
      <c r="AP37" s="24"/>
      <c r="AQ37" s="24"/>
      <c r="AR37" s="24"/>
      <c r="AS37" s="24"/>
      <c r="AT37" s="24"/>
      <c r="AU37" s="24"/>
      <c r="AV37" s="24"/>
      <c r="AW37" s="24"/>
      <c r="AX37" s="24"/>
      <c r="AY37" s="18"/>
    </row>
    <row r="38" spans="3:51" ht="15" x14ac:dyDescent="0.25">
      <c r="AJ38" s="17"/>
      <c r="AK38" s="13" t="s">
        <v>387</v>
      </c>
      <c r="AL38" s="24"/>
      <c r="AM38" s="24"/>
      <c r="AN38" s="24"/>
      <c r="AO38" s="24"/>
      <c r="AP38" s="24"/>
      <c r="AQ38" s="24"/>
      <c r="AR38" s="24"/>
      <c r="AS38" s="24"/>
      <c r="AT38" s="24"/>
      <c r="AU38" s="24"/>
      <c r="AV38" s="24"/>
      <c r="AW38" s="24"/>
      <c r="AX38" s="24"/>
      <c r="AY38" s="18"/>
    </row>
    <row r="39" spans="3:51" ht="15" x14ac:dyDescent="0.25">
      <c r="AJ39" s="17"/>
      <c r="AK39" s="13" t="s">
        <v>389</v>
      </c>
      <c r="AL39" s="24"/>
      <c r="AM39" s="24"/>
      <c r="AN39" s="24"/>
      <c r="AO39" s="24"/>
      <c r="AP39" s="24"/>
      <c r="AQ39" s="24"/>
      <c r="AR39" s="24"/>
      <c r="AS39" s="24"/>
      <c r="AT39" s="24"/>
      <c r="AU39" s="24"/>
      <c r="AV39" s="24"/>
      <c r="AW39" s="24"/>
      <c r="AX39" s="24"/>
      <c r="AY39" s="18"/>
    </row>
    <row r="40" spans="3:51" ht="15" x14ac:dyDescent="0.25">
      <c r="AJ40" s="17"/>
      <c r="AK40" s="13" t="s">
        <v>391</v>
      </c>
      <c r="AL40" s="24"/>
      <c r="AM40" s="24"/>
      <c r="AN40" s="24"/>
      <c r="AO40" s="24"/>
      <c r="AP40" s="24"/>
      <c r="AQ40" s="24"/>
      <c r="AR40" s="24"/>
      <c r="AS40" s="24"/>
      <c r="AT40" s="24"/>
      <c r="AU40" s="24"/>
      <c r="AV40" s="24"/>
      <c r="AW40" s="24"/>
      <c r="AX40" s="24"/>
      <c r="AY40" s="18"/>
    </row>
    <row r="41" spans="3:51" ht="15" x14ac:dyDescent="0.25">
      <c r="AJ41" s="17"/>
      <c r="AK41" s="13" t="s">
        <v>393</v>
      </c>
      <c r="AY41" s="18"/>
    </row>
    <row r="42" spans="3:51" ht="15" x14ac:dyDescent="0.25">
      <c r="AJ42" s="17"/>
      <c r="AK42" s="13" t="s">
        <v>383</v>
      </c>
      <c r="AY42" s="18"/>
    </row>
    <row r="43" spans="3:51" ht="15" x14ac:dyDescent="0.25">
      <c r="AJ43" s="17"/>
      <c r="AK43" s="13" t="s">
        <v>385</v>
      </c>
      <c r="AY43" s="18"/>
    </row>
    <row r="44" spans="3:51" ht="15" x14ac:dyDescent="0.25">
      <c r="C44" s="13" t="s">
        <v>395</v>
      </c>
      <c r="AJ44" s="17"/>
      <c r="AK44" s="13" t="s">
        <v>387</v>
      </c>
      <c r="AY44" s="18"/>
    </row>
    <row r="45" spans="3:51" ht="15" x14ac:dyDescent="0.25">
      <c r="D45" s="13" t="s">
        <v>397</v>
      </c>
      <c r="L45" s="13" t="s">
        <v>398</v>
      </c>
      <c r="AJ45" s="17"/>
      <c r="AK45" s="13" t="s">
        <v>389</v>
      </c>
      <c r="AY45" s="18"/>
    </row>
    <row r="46" spans="3:51" ht="15" x14ac:dyDescent="0.25">
      <c r="D46" s="13" t="s">
        <v>400</v>
      </c>
      <c r="L46" s="13" t="s">
        <v>401</v>
      </c>
      <c r="AJ46" s="17"/>
      <c r="AK46" s="13" t="s">
        <v>391</v>
      </c>
      <c r="AY46" s="18"/>
    </row>
    <row r="47" spans="3:51" ht="15" x14ac:dyDescent="0.25">
      <c r="D47" s="13" t="s">
        <v>403</v>
      </c>
      <c r="L47" s="13" t="s">
        <v>404</v>
      </c>
      <c r="AJ47" s="17"/>
      <c r="AK47" s="13" t="s">
        <v>405</v>
      </c>
      <c r="AY47" s="18"/>
    </row>
    <row r="48" spans="3:51" ht="15" x14ac:dyDescent="0.25">
      <c r="AJ48" s="17"/>
      <c r="AK48" s="13" t="s">
        <v>383</v>
      </c>
      <c r="AY48" s="18"/>
    </row>
    <row r="49" spans="2:51" ht="15" x14ac:dyDescent="0.25">
      <c r="B49" s="13" t="s">
        <v>407</v>
      </c>
      <c r="AJ49" s="17"/>
      <c r="AK49" s="13" t="s">
        <v>385</v>
      </c>
      <c r="AY49" s="18"/>
    </row>
    <row r="50" spans="2:51" ht="15" x14ac:dyDescent="0.25">
      <c r="C50" s="13" t="s">
        <v>409</v>
      </c>
      <c r="AJ50" s="17"/>
      <c r="AK50" s="13" t="s">
        <v>387</v>
      </c>
      <c r="AY50" s="18"/>
    </row>
    <row r="51" spans="2:51" ht="15" x14ac:dyDescent="0.25">
      <c r="C51" s="13" t="s">
        <v>411</v>
      </c>
      <c r="AJ51" s="17"/>
      <c r="AK51" s="13" t="s">
        <v>389</v>
      </c>
      <c r="AY51" s="18"/>
    </row>
    <row r="52" spans="2:51" ht="15" x14ac:dyDescent="0.25">
      <c r="AJ52" s="17"/>
      <c r="AK52" s="13" t="s">
        <v>391</v>
      </c>
      <c r="AY52" s="18"/>
    </row>
    <row r="53" spans="2:51" ht="15" x14ac:dyDescent="0.25">
      <c r="E53" s="22" t="s">
        <v>413</v>
      </c>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J53" s="17"/>
      <c r="AK53" s="13" t="s">
        <v>414</v>
      </c>
      <c r="AL53" s="24"/>
      <c r="AM53" s="24"/>
      <c r="AN53" s="24"/>
      <c r="AO53" s="24"/>
      <c r="AP53" s="24"/>
      <c r="AQ53" s="24"/>
      <c r="AR53" s="24"/>
      <c r="AS53" s="24"/>
      <c r="AT53" s="24"/>
      <c r="AU53" s="24"/>
      <c r="AV53" s="24"/>
      <c r="AW53" s="24"/>
      <c r="AX53" s="24"/>
      <c r="AY53" s="18"/>
    </row>
    <row r="54" spans="2:51" ht="15" x14ac:dyDescent="0.25">
      <c r="E54" s="22" t="s">
        <v>416</v>
      </c>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J54" s="17"/>
      <c r="AK54" s="13" t="s">
        <v>332</v>
      </c>
      <c r="AL54" s="24"/>
      <c r="AM54" s="24"/>
      <c r="AN54" s="24"/>
      <c r="AO54" s="24"/>
      <c r="AP54" s="24"/>
      <c r="AQ54" s="24"/>
      <c r="AR54" s="24"/>
      <c r="AS54" s="24"/>
      <c r="AT54" s="24"/>
      <c r="AU54" s="24"/>
      <c r="AV54" s="24"/>
      <c r="AW54" s="24"/>
      <c r="AX54" s="24"/>
      <c r="AY54" s="18"/>
    </row>
    <row r="55" spans="2:51" ht="15" x14ac:dyDescent="0.25">
      <c r="E55" s="22" t="s">
        <v>418</v>
      </c>
      <c r="F55" s="22"/>
      <c r="G55" s="22"/>
      <c r="H55" s="22"/>
      <c r="I55" s="22"/>
      <c r="J55" s="22"/>
      <c r="K55" s="22"/>
      <c r="L55" s="22"/>
      <c r="M55" s="22"/>
      <c r="N55" s="22"/>
      <c r="O55" s="22"/>
      <c r="P55" s="22"/>
      <c r="Q55" s="22"/>
      <c r="R55" s="22"/>
      <c r="S55" s="22"/>
      <c r="T55" s="25" t="s">
        <v>419</v>
      </c>
      <c r="U55" s="22"/>
      <c r="V55" s="22"/>
      <c r="W55" s="22"/>
      <c r="X55" s="22"/>
      <c r="Y55" s="22"/>
      <c r="Z55" s="22"/>
      <c r="AA55" s="22"/>
      <c r="AB55" s="22"/>
      <c r="AC55" s="22"/>
      <c r="AD55" s="22"/>
      <c r="AE55" s="22"/>
      <c r="AF55" s="22"/>
      <c r="AG55" s="22"/>
      <c r="AH55" s="22"/>
      <c r="AJ55" s="17"/>
      <c r="AK55" s="13" t="s">
        <v>420</v>
      </c>
      <c r="AY55" s="18"/>
    </row>
    <row r="56" spans="2:51" ht="15" x14ac:dyDescent="0.25">
      <c r="E56" s="22" t="s">
        <v>422</v>
      </c>
      <c r="F56" s="22"/>
      <c r="G56" s="22"/>
      <c r="H56" s="22"/>
      <c r="I56" s="22"/>
      <c r="J56" s="22"/>
      <c r="K56" s="22"/>
      <c r="L56" s="22"/>
      <c r="M56" s="22"/>
      <c r="N56" s="22"/>
      <c r="O56" s="22"/>
      <c r="P56" s="22"/>
      <c r="Q56" s="22"/>
      <c r="R56" s="22"/>
      <c r="S56" s="22"/>
      <c r="T56" s="25" t="s">
        <v>423</v>
      </c>
      <c r="U56" s="22"/>
      <c r="V56" s="22"/>
      <c r="W56" s="22"/>
      <c r="X56" s="22"/>
      <c r="Y56" s="22"/>
      <c r="Z56" s="22"/>
      <c r="AA56" s="22"/>
      <c r="AB56" s="22"/>
      <c r="AC56" s="22"/>
      <c r="AD56" s="22"/>
      <c r="AE56" s="22"/>
      <c r="AF56" s="22"/>
      <c r="AG56" s="22"/>
      <c r="AH56" s="22"/>
      <c r="AJ56" s="17"/>
      <c r="AK56" s="13" t="s">
        <v>332</v>
      </c>
      <c r="AY56" s="18"/>
    </row>
    <row r="57" spans="2:51" ht="15" x14ac:dyDescent="0.25">
      <c r="E57" s="22" t="s">
        <v>425</v>
      </c>
      <c r="F57" s="22"/>
      <c r="G57" s="22"/>
      <c r="H57" s="22"/>
      <c r="I57" s="22"/>
      <c r="J57" s="22"/>
      <c r="K57" s="22"/>
      <c r="L57" s="22"/>
      <c r="M57" s="22"/>
      <c r="N57" s="22"/>
      <c r="O57" s="22"/>
      <c r="P57" s="22"/>
      <c r="Q57" s="22"/>
      <c r="R57" s="22"/>
      <c r="S57" s="22"/>
      <c r="T57" s="26" t="s">
        <v>426</v>
      </c>
      <c r="U57" s="22"/>
      <c r="V57" s="22"/>
      <c r="W57" s="22"/>
      <c r="X57" s="22"/>
      <c r="Y57" s="22"/>
      <c r="Z57" s="22"/>
      <c r="AA57" s="22"/>
      <c r="AB57" s="22"/>
      <c r="AC57" s="22"/>
      <c r="AD57" s="22"/>
      <c r="AE57" s="22"/>
      <c r="AF57" s="22"/>
      <c r="AG57" s="22"/>
      <c r="AH57" s="22"/>
      <c r="AJ57" s="17"/>
      <c r="AK57" s="13" t="s">
        <v>427</v>
      </c>
      <c r="AY57" s="18"/>
    </row>
    <row r="58" spans="2:51" ht="15" x14ac:dyDescent="0.25">
      <c r="E58" s="22" t="s">
        <v>429</v>
      </c>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J58" s="17"/>
      <c r="AK58" s="13" t="s">
        <v>332</v>
      </c>
      <c r="AY58" s="18"/>
    </row>
    <row r="59" spans="2:51" ht="15" x14ac:dyDescent="0.25">
      <c r="E59" s="22" t="s">
        <v>431</v>
      </c>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J59" s="17"/>
      <c r="AK59" s="13" t="s">
        <v>432</v>
      </c>
      <c r="AY59" s="18"/>
    </row>
    <row r="60" spans="2:51" ht="15" x14ac:dyDescent="0.25">
      <c r="E60" s="22" t="s">
        <v>434</v>
      </c>
      <c r="F60" s="22"/>
      <c r="G60" s="22"/>
      <c r="H60" s="22"/>
      <c r="I60" s="22"/>
      <c r="J60" s="22"/>
      <c r="K60" s="22"/>
      <c r="L60" s="22"/>
      <c r="M60" s="22"/>
      <c r="N60" s="22"/>
      <c r="O60" s="22"/>
      <c r="P60" s="22"/>
      <c r="Q60" s="22"/>
      <c r="R60" s="22"/>
      <c r="S60" s="22"/>
      <c r="T60" s="26" t="s">
        <v>435</v>
      </c>
      <c r="U60" s="22"/>
      <c r="V60" s="22"/>
      <c r="W60" s="22"/>
      <c r="X60" s="22"/>
      <c r="Y60" s="22"/>
      <c r="Z60" s="22"/>
      <c r="AA60" s="22"/>
      <c r="AB60" s="22"/>
      <c r="AC60" s="22"/>
      <c r="AD60" s="22"/>
      <c r="AE60" s="22"/>
      <c r="AF60" s="22"/>
      <c r="AG60" s="22"/>
      <c r="AH60" s="22"/>
      <c r="AJ60" s="17"/>
      <c r="AK60" s="13" t="s">
        <v>332</v>
      </c>
      <c r="AY60" s="18"/>
    </row>
    <row r="61" spans="2:51" ht="15" x14ac:dyDescent="0.25">
      <c r="E61" s="22" t="s">
        <v>437</v>
      </c>
      <c r="F61" s="22"/>
      <c r="G61" s="22"/>
      <c r="H61" s="22"/>
      <c r="I61" s="22"/>
      <c r="J61" s="22"/>
      <c r="K61" s="22"/>
      <c r="L61" s="22"/>
      <c r="M61" s="22"/>
      <c r="N61" s="22"/>
      <c r="O61" s="22"/>
      <c r="P61" s="22"/>
      <c r="Q61" s="22"/>
      <c r="R61" s="22"/>
      <c r="S61" s="22"/>
      <c r="T61" s="25" t="s">
        <v>438</v>
      </c>
      <c r="U61" s="22"/>
      <c r="V61" s="22"/>
      <c r="W61" s="22"/>
      <c r="X61" s="22"/>
      <c r="Y61" s="22"/>
      <c r="Z61" s="22"/>
      <c r="AA61" s="22"/>
      <c r="AB61" s="22"/>
      <c r="AC61" s="22"/>
      <c r="AD61" s="22"/>
      <c r="AE61" s="22"/>
      <c r="AF61" s="22"/>
      <c r="AG61" s="22"/>
      <c r="AH61" s="22"/>
      <c r="AJ61" s="27"/>
      <c r="AK61" s="12"/>
      <c r="AL61" s="12"/>
      <c r="AM61" s="12"/>
      <c r="AN61" s="12"/>
      <c r="AO61" s="12"/>
      <c r="AP61" s="12"/>
      <c r="AQ61" s="12"/>
      <c r="AR61" s="12"/>
      <c r="AS61" s="12"/>
      <c r="AT61" s="12"/>
      <c r="AU61" s="12"/>
      <c r="AV61" s="12"/>
      <c r="AW61" s="12"/>
      <c r="AX61" s="12"/>
      <c r="AY61" s="28"/>
    </row>
    <row r="62" spans="2:51" ht="15" x14ac:dyDescent="0.25">
      <c r="E62" s="22" t="s">
        <v>440</v>
      </c>
      <c r="F62" s="22"/>
      <c r="G62" s="22"/>
      <c r="H62" s="22"/>
      <c r="I62" s="22"/>
      <c r="J62" s="22"/>
      <c r="K62" s="22"/>
      <c r="L62" s="22"/>
      <c r="M62" s="22"/>
      <c r="N62" s="22"/>
      <c r="O62" s="22"/>
      <c r="P62" s="22"/>
      <c r="Q62" s="22"/>
      <c r="R62" s="22"/>
      <c r="S62" s="22"/>
      <c r="T62" s="25" t="s">
        <v>441</v>
      </c>
      <c r="U62" s="22"/>
      <c r="V62" s="22"/>
      <c r="W62" s="22"/>
      <c r="X62" s="22"/>
      <c r="Y62" s="22"/>
      <c r="Z62" s="22"/>
      <c r="AA62" s="22"/>
      <c r="AB62" s="22"/>
      <c r="AC62" s="22"/>
      <c r="AD62" s="22"/>
      <c r="AE62" s="22"/>
      <c r="AF62" s="22"/>
      <c r="AG62" s="22"/>
      <c r="AH62" s="22"/>
    </row>
    <row r="63" spans="2:51" ht="15" x14ac:dyDescent="0.25">
      <c r="E63" s="22" t="s">
        <v>443</v>
      </c>
      <c r="F63" s="22"/>
      <c r="G63" s="22"/>
      <c r="H63" s="22"/>
      <c r="I63" s="22"/>
      <c r="J63" s="22"/>
      <c r="K63" s="22"/>
      <c r="L63" s="22"/>
      <c r="M63" s="22"/>
      <c r="N63" s="22"/>
      <c r="O63" s="22"/>
      <c r="P63" s="22"/>
      <c r="Q63" s="22"/>
      <c r="R63" s="22"/>
      <c r="S63" s="22"/>
      <c r="T63" s="25" t="s">
        <v>444</v>
      </c>
      <c r="U63" s="22"/>
      <c r="V63" s="22"/>
      <c r="W63" s="22"/>
      <c r="X63" s="22"/>
      <c r="Y63" s="22"/>
      <c r="Z63" s="22"/>
      <c r="AA63" s="22"/>
      <c r="AB63" s="22"/>
      <c r="AC63" s="22"/>
      <c r="AD63" s="22"/>
      <c r="AE63" s="22"/>
      <c r="AF63" s="22"/>
      <c r="AG63" s="22"/>
      <c r="AH63" s="22"/>
    </row>
    <row r="64" spans="2:51" ht="15" x14ac:dyDescent="0.25">
      <c r="E64" s="22" t="s">
        <v>446</v>
      </c>
      <c r="F64" s="22"/>
      <c r="G64" s="22"/>
      <c r="H64" s="22"/>
      <c r="I64" s="22"/>
      <c r="J64" s="22"/>
      <c r="K64" s="22"/>
      <c r="L64" s="22"/>
      <c r="M64" s="22"/>
      <c r="N64" s="22"/>
      <c r="O64" s="22"/>
      <c r="P64" s="22"/>
      <c r="Q64" s="22"/>
      <c r="R64" s="22"/>
      <c r="S64" s="22"/>
      <c r="T64" s="25" t="s">
        <v>447</v>
      </c>
      <c r="U64" s="22"/>
      <c r="V64" s="22"/>
      <c r="W64" s="22"/>
      <c r="X64" s="22"/>
      <c r="Y64" s="22"/>
      <c r="Z64" s="22"/>
      <c r="AA64" s="22"/>
      <c r="AB64" s="22"/>
      <c r="AC64" s="22"/>
      <c r="AD64" s="22"/>
      <c r="AE64" s="22"/>
      <c r="AF64" s="22"/>
      <c r="AG64" s="22"/>
      <c r="AH64" s="22"/>
    </row>
    <row r="65" spans="5:37" ht="15" x14ac:dyDescent="0.25">
      <c r="E65" s="22" t="s">
        <v>449</v>
      </c>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row>
    <row r="66" spans="5:37" ht="15" x14ac:dyDescent="0.25">
      <c r="E66" s="22" t="s">
        <v>451</v>
      </c>
      <c r="F66" s="22"/>
      <c r="G66" s="22"/>
      <c r="H66" s="22"/>
      <c r="I66" s="22"/>
      <c r="J66" s="22"/>
      <c r="K66" s="22"/>
      <c r="L66" s="22"/>
      <c r="M66" s="22"/>
      <c r="N66" s="22"/>
      <c r="O66" s="22"/>
      <c r="P66" s="22"/>
      <c r="Q66" s="22"/>
      <c r="R66" s="22"/>
      <c r="S66" s="22"/>
      <c r="T66" s="25" t="s">
        <v>452</v>
      </c>
      <c r="U66" s="22"/>
      <c r="V66" s="22"/>
      <c r="W66" s="22"/>
      <c r="X66" s="22"/>
      <c r="Y66" s="22"/>
      <c r="Z66" s="22"/>
      <c r="AA66" s="22"/>
      <c r="AB66" s="22"/>
      <c r="AC66" s="22"/>
      <c r="AD66" s="22"/>
      <c r="AE66" s="22"/>
      <c r="AF66" s="22"/>
      <c r="AG66" s="22"/>
      <c r="AH66" s="22"/>
    </row>
    <row r="67" spans="5:37" ht="15" x14ac:dyDescent="0.25">
      <c r="E67" s="22" t="s">
        <v>454</v>
      </c>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row>
    <row r="68" spans="5:37" ht="15" x14ac:dyDescent="0.25">
      <c r="E68" s="22" t="s">
        <v>456</v>
      </c>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row>
    <row r="69" spans="5:37" ht="15" x14ac:dyDescent="0.25">
      <c r="E69" s="22" t="s">
        <v>458</v>
      </c>
      <c r="F69" s="22"/>
      <c r="G69" s="22"/>
      <c r="H69" s="22"/>
      <c r="I69" s="22"/>
      <c r="J69" s="22"/>
      <c r="K69" s="22"/>
      <c r="L69" s="22"/>
      <c r="M69" s="22"/>
      <c r="N69" s="22"/>
      <c r="O69" s="22"/>
      <c r="P69" s="22"/>
      <c r="Q69" s="22"/>
      <c r="R69" s="22"/>
      <c r="S69" s="22"/>
      <c r="T69" s="25" t="s">
        <v>459</v>
      </c>
      <c r="U69" s="22"/>
      <c r="V69" s="22"/>
      <c r="W69" s="22"/>
      <c r="X69" s="22"/>
      <c r="Y69" s="22"/>
      <c r="Z69" s="22"/>
      <c r="AA69" s="22"/>
      <c r="AB69" s="22"/>
      <c r="AC69" s="22"/>
      <c r="AD69" s="22"/>
      <c r="AE69" s="22"/>
      <c r="AF69" s="22"/>
      <c r="AG69" s="22"/>
      <c r="AH69" s="22"/>
    </row>
    <row r="70" spans="5:37" ht="15" x14ac:dyDescent="0.25">
      <c r="E70" s="22" t="s">
        <v>461</v>
      </c>
      <c r="F70" s="22"/>
      <c r="G70" s="22"/>
      <c r="H70" s="22"/>
      <c r="I70" s="22"/>
      <c r="J70" s="22"/>
      <c r="K70" s="22"/>
      <c r="L70" s="22"/>
      <c r="M70" s="22"/>
      <c r="N70" s="22"/>
      <c r="O70" s="22"/>
      <c r="P70" s="22"/>
      <c r="Q70" s="22"/>
      <c r="R70" s="22"/>
      <c r="S70" s="22"/>
      <c r="T70" s="22"/>
      <c r="U70" s="22"/>
      <c r="V70" s="22"/>
      <c r="W70" s="22"/>
      <c r="X70" s="22"/>
      <c r="Y70" s="22"/>
      <c r="Z70" s="22"/>
      <c r="AA70" s="22"/>
      <c r="AB70" s="26" t="s">
        <v>462</v>
      </c>
      <c r="AC70" s="22"/>
      <c r="AD70" s="22"/>
      <c r="AE70" s="22"/>
      <c r="AF70" s="22"/>
      <c r="AG70" s="22"/>
      <c r="AH70" s="22"/>
    </row>
    <row r="71" spans="5:37" ht="15" x14ac:dyDescent="0.25">
      <c r="E71" s="22" t="s">
        <v>464</v>
      </c>
      <c r="F71" s="22"/>
      <c r="G71" s="22"/>
      <c r="H71" s="22"/>
      <c r="I71" s="22"/>
      <c r="J71" s="22"/>
      <c r="K71" s="22"/>
      <c r="L71" s="22"/>
      <c r="M71" s="22"/>
      <c r="N71" s="22"/>
      <c r="O71" s="22"/>
      <c r="P71" s="22"/>
      <c r="Q71" s="22"/>
      <c r="R71" s="22"/>
      <c r="S71" s="22"/>
      <c r="T71" s="22"/>
      <c r="U71" s="22"/>
      <c r="V71" s="22"/>
      <c r="W71" s="22"/>
      <c r="X71" s="22"/>
      <c r="Y71" s="22"/>
      <c r="Z71" s="22"/>
      <c r="AA71" s="22"/>
      <c r="AB71" s="26" t="s">
        <v>465</v>
      </c>
      <c r="AC71" s="22"/>
      <c r="AD71" s="22"/>
      <c r="AE71" s="22"/>
      <c r="AF71" s="22"/>
      <c r="AG71" s="22"/>
      <c r="AH71" s="22"/>
    </row>
    <row r="72" spans="5:37" ht="15" x14ac:dyDescent="0.25">
      <c r="E72" s="22" t="s">
        <v>467</v>
      </c>
      <c r="F72" s="22"/>
      <c r="G72" s="22"/>
      <c r="H72" s="22"/>
      <c r="I72" s="22"/>
      <c r="J72" s="22"/>
      <c r="K72" s="22"/>
      <c r="L72" s="22"/>
      <c r="M72" s="22"/>
      <c r="N72" s="22"/>
      <c r="O72" s="22"/>
      <c r="P72" s="22"/>
      <c r="Q72" s="22"/>
      <c r="R72" s="22"/>
      <c r="S72" s="22"/>
      <c r="T72" s="22"/>
      <c r="U72" s="22"/>
      <c r="V72" s="22"/>
      <c r="W72" s="22"/>
      <c r="X72" s="22"/>
      <c r="Y72" s="22"/>
      <c r="Z72" s="22"/>
      <c r="AA72" s="22"/>
      <c r="AB72" s="26" t="s">
        <v>468</v>
      </c>
      <c r="AC72" s="22"/>
      <c r="AD72" s="22"/>
      <c r="AE72" s="22"/>
      <c r="AF72" s="22"/>
      <c r="AG72" s="22"/>
      <c r="AH72" s="22"/>
    </row>
    <row r="73" spans="5:37" ht="15" x14ac:dyDescent="0.25">
      <c r="E73" s="22" t="s">
        <v>470</v>
      </c>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5" t="s">
        <v>452</v>
      </c>
      <c r="AF73" s="22"/>
      <c r="AG73" s="22"/>
      <c r="AH73" s="22"/>
    </row>
    <row r="74" spans="5:37" ht="15" x14ac:dyDescent="0.25">
      <c r="E74" s="22" t="s">
        <v>472</v>
      </c>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5" t="s">
        <v>452</v>
      </c>
      <c r="AF74" s="22"/>
      <c r="AG74" s="22"/>
      <c r="AH74" s="22"/>
    </row>
    <row r="75" spans="5:37" ht="15" x14ac:dyDescent="0.25">
      <c r="E75" s="22" t="s">
        <v>474</v>
      </c>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row>
    <row r="76" spans="5:37" ht="15" x14ac:dyDescent="0.25">
      <c r="E76" s="22"/>
      <c r="F76" s="22"/>
      <c r="G76" s="22"/>
      <c r="H76" s="25" t="s">
        <v>476</v>
      </c>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K76" s="13" t="s">
        <v>477</v>
      </c>
    </row>
    <row r="77" spans="5:37" ht="15" x14ac:dyDescent="0.25">
      <c r="E77" s="22" t="s">
        <v>479</v>
      </c>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K77" s="13" t="s">
        <v>480</v>
      </c>
    </row>
    <row r="78" spans="5:37" ht="15" x14ac:dyDescent="0.25">
      <c r="E78" s="22" t="s">
        <v>482</v>
      </c>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K78" s="13" t="s">
        <v>483</v>
      </c>
    </row>
    <row r="79" spans="5:37" ht="15" x14ac:dyDescent="0.25">
      <c r="E79" s="22" t="s">
        <v>485</v>
      </c>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K79" s="13" t="s">
        <v>486</v>
      </c>
    </row>
  </sheetData>
  <phoneticPr fontId="13"/>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00"/>
  <sheetViews>
    <sheetView topLeftCell="A20" workbookViewId="0"/>
  </sheetViews>
  <sheetFormatPr defaultRowHeight="13.5" x14ac:dyDescent="0.15"/>
  <cols>
    <col min="1" max="1" width="17.25" customWidth="1"/>
    <col min="2" max="2" width="11.25" customWidth="1"/>
    <col min="3" max="3" width="8.75" customWidth="1"/>
    <col min="4" max="15" width="13" customWidth="1"/>
    <col min="16" max="16" width="3.25" customWidth="1"/>
    <col min="17" max="17" width="8.75" customWidth="1"/>
    <col min="18" max="18" width="13" customWidth="1"/>
    <col min="19" max="19" width="11.75" customWidth="1"/>
    <col min="20" max="20" width="8.75" customWidth="1"/>
    <col min="21" max="22" width="13" customWidth="1"/>
  </cols>
  <sheetData>
    <row r="1" spans="1:21" ht="45" customHeight="1" x14ac:dyDescent="0.15">
      <c r="A1" s="29" t="s">
        <v>488</v>
      </c>
      <c r="Q1" s="30" t="s">
        <v>489</v>
      </c>
    </row>
    <row r="2" spans="1:21" ht="8.4499999999999993" customHeight="1" x14ac:dyDescent="0.25">
      <c r="A2" s="31"/>
    </row>
    <row r="3" spans="1:21" x14ac:dyDescent="0.15">
      <c r="A3" s="32" t="s">
        <v>491</v>
      </c>
      <c r="B3" s="33" t="s">
        <v>492</v>
      </c>
      <c r="C3" s="34" t="s">
        <v>493</v>
      </c>
      <c r="D3" s="34" t="s">
        <v>494</v>
      </c>
      <c r="E3" s="34" t="s">
        <v>495</v>
      </c>
      <c r="F3" s="34" t="s">
        <v>496</v>
      </c>
      <c r="G3" s="34" t="s">
        <v>497</v>
      </c>
      <c r="H3" s="34" t="s">
        <v>498</v>
      </c>
      <c r="I3" s="34"/>
      <c r="J3" s="34"/>
      <c r="K3" s="34"/>
      <c r="L3" s="34"/>
      <c r="M3" s="34"/>
      <c r="N3" s="34"/>
      <c r="O3" s="34"/>
      <c r="U3" s="34" t="s">
        <v>499</v>
      </c>
    </row>
    <row r="4" spans="1:21" x14ac:dyDescent="0.15">
      <c r="A4" s="35"/>
      <c r="B4" s="33" t="s">
        <v>501</v>
      </c>
      <c r="C4" s="34" t="s">
        <v>502</v>
      </c>
      <c r="D4" s="36" t="s">
        <v>503</v>
      </c>
      <c r="E4" s="34" t="s">
        <v>504</v>
      </c>
      <c r="F4" s="34" t="s">
        <v>505</v>
      </c>
      <c r="G4" s="34" t="s">
        <v>506</v>
      </c>
      <c r="H4" s="34" t="s">
        <v>507</v>
      </c>
      <c r="I4" s="34"/>
      <c r="J4" s="34"/>
      <c r="K4" s="34"/>
      <c r="L4" s="34"/>
      <c r="M4" s="34"/>
      <c r="N4" s="34"/>
      <c r="O4" s="34"/>
    </row>
    <row r="5" spans="1:21" ht="8.4499999999999993" customHeight="1" x14ac:dyDescent="0.15"/>
    <row r="6" spans="1:21" x14ac:dyDescent="0.15">
      <c r="A6" s="37" t="s">
        <v>509</v>
      </c>
      <c r="B6" s="38" t="s">
        <v>510</v>
      </c>
      <c r="C6" s="39" t="s">
        <v>511</v>
      </c>
      <c r="D6" s="40"/>
      <c r="E6" s="40"/>
      <c r="F6" s="40"/>
      <c r="G6" s="40"/>
      <c r="H6" s="40"/>
      <c r="I6" s="40"/>
      <c r="J6" s="40"/>
      <c r="K6" s="40"/>
      <c r="L6" s="40"/>
      <c r="M6" s="40"/>
      <c r="N6" s="40"/>
      <c r="O6" s="41"/>
      <c r="Q6" s="42" t="s">
        <v>512</v>
      </c>
    </row>
    <row r="7" spans="1:21" x14ac:dyDescent="0.15">
      <c r="A7" s="43"/>
      <c r="B7" s="44"/>
      <c r="C7" s="45" t="s">
        <v>514</v>
      </c>
      <c r="O7" s="46"/>
      <c r="Q7" s="42" t="s">
        <v>515</v>
      </c>
    </row>
    <row r="8" spans="1:21" x14ac:dyDescent="0.15">
      <c r="A8" s="43"/>
      <c r="B8" s="44"/>
      <c r="C8" s="45"/>
      <c r="O8" s="46"/>
      <c r="Q8" s="42" t="s">
        <v>517</v>
      </c>
    </row>
    <row r="9" spans="1:21" x14ac:dyDescent="0.15">
      <c r="A9" s="43"/>
      <c r="B9" s="44"/>
      <c r="C9" s="45"/>
      <c r="O9" s="46"/>
      <c r="Q9" s="42" t="s">
        <v>519</v>
      </c>
    </row>
    <row r="10" spans="1:21" x14ac:dyDescent="0.15">
      <c r="A10" s="43"/>
      <c r="B10" s="47"/>
      <c r="C10" s="48"/>
      <c r="D10" s="49"/>
      <c r="E10" s="49"/>
      <c r="F10" s="49"/>
      <c r="G10" s="49"/>
      <c r="H10" s="49"/>
      <c r="I10" s="49"/>
      <c r="J10" s="49"/>
      <c r="K10" s="49"/>
      <c r="L10" s="49"/>
      <c r="M10" s="49"/>
      <c r="N10" s="49"/>
      <c r="O10" s="50"/>
      <c r="Q10" s="42" t="s">
        <v>521</v>
      </c>
    </row>
    <row r="11" spans="1:21" x14ac:dyDescent="0.15">
      <c r="A11" s="43"/>
      <c r="B11" s="38" t="s">
        <v>523</v>
      </c>
      <c r="C11" s="33" t="s">
        <v>1</v>
      </c>
      <c r="D11" s="34" t="s">
        <v>1</v>
      </c>
      <c r="E11" s="51"/>
      <c r="F11" s="51"/>
      <c r="G11" s="51"/>
      <c r="H11" s="51"/>
      <c r="I11" s="51"/>
      <c r="J11" s="51"/>
      <c r="K11" s="51"/>
      <c r="L11" s="51"/>
      <c r="M11" s="51"/>
      <c r="N11" s="51"/>
      <c r="O11" s="52"/>
      <c r="Q11" s="42" t="s">
        <v>524</v>
      </c>
    </row>
    <row r="12" spans="1:21" x14ac:dyDescent="0.15">
      <c r="A12" s="43"/>
      <c r="B12" s="44"/>
      <c r="C12" s="33" t="s">
        <v>2</v>
      </c>
      <c r="D12" s="34" t="s">
        <v>2</v>
      </c>
      <c r="E12" s="51"/>
      <c r="F12" s="51"/>
      <c r="G12" s="51"/>
      <c r="H12" s="51"/>
      <c r="I12" s="51"/>
      <c r="J12" s="51"/>
      <c r="K12" s="51"/>
      <c r="L12" s="51"/>
      <c r="M12" s="51"/>
      <c r="N12" s="51"/>
      <c r="O12" s="52"/>
      <c r="Q12" s="42" t="s">
        <v>526</v>
      </c>
    </row>
    <row r="13" spans="1:21" x14ac:dyDescent="0.15">
      <c r="A13" s="43"/>
      <c r="B13" s="44"/>
      <c r="C13" s="33" t="s">
        <v>3</v>
      </c>
      <c r="D13" s="34" t="s">
        <v>3</v>
      </c>
      <c r="E13" s="51"/>
      <c r="F13" s="51"/>
      <c r="G13" s="51"/>
      <c r="H13" s="51"/>
      <c r="I13" s="51"/>
      <c r="J13" s="51"/>
      <c r="K13" s="51"/>
      <c r="L13" s="51"/>
      <c r="M13" s="51"/>
      <c r="N13" s="51"/>
      <c r="O13" s="52"/>
      <c r="Q13" s="42" t="s">
        <v>528</v>
      </c>
    </row>
    <row r="14" spans="1:21" x14ac:dyDescent="0.15">
      <c r="A14" s="43"/>
      <c r="B14" s="44"/>
      <c r="C14" s="33" t="s">
        <v>530</v>
      </c>
      <c r="D14" s="34" t="s">
        <v>531</v>
      </c>
      <c r="E14" s="51"/>
      <c r="F14" s="51"/>
      <c r="G14" s="51"/>
      <c r="H14" s="51"/>
      <c r="I14" s="51"/>
      <c r="J14" s="51"/>
      <c r="K14" s="51"/>
      <c r="L14" s="51"/>
      <c r="M14" s="51"/>
      <c r="N14" s="51"/>
      <c r="O14" s="52"/>
      <c r="Q14" s="42" t="s">
        <v>532</v>
      </c>
    </row>
    <row r="15" spans="1:21" x14ac:dyDescent="0.15">
      <c r="A15" s="43"/>
      <c r="B15" s="47"/>
      <c r="C15" s="33" t="s">
        <v>534</v>
      </c>
      <c r="D15" s="53" t="b">
        <v>0</v>
      </c>
      <c r="E15" s="51"/>
      <c r="F15" s="51"/>
      <c r="G15" s="51"/>
      <c r="H15" s="51"/>
      <c r="I15" s="51"/>
      <c r="J15" s="51"/>
      <c r="K15" s="51"/>
      <c r="L15" s="51"/>
      <c r="M15" s="51"/>
      <c r="N15" s="51"/>
      <c r="O15" s="52"/>
      <c r="Q15" s="42" t="s">
        <v>535</v>
      </c>
    </row>
    <row r="16" spans="1:21" x14ac:dyDescent="0.15">
      <c r="A16" s="43"/>
      <c r="B16" s="54" t="s">
        <v>537</v>
      </c>
      <c r="C16" s="33" t="s">
        <v>538</v>
      </c>
      <c r="D16" s="33" t="s">
        <v>539</v>
      </c>
      <c r="E16" s="33" t="s">
        <v>540</v>
      </c>
      <c r="F16" s="33" t="s">
        <v>501</v>
      </c>
      <c r="G16" s="51"/>
      <c r="H16" s="51"/>
      <c r="I16" s="51"/>
      <c r="J16" s="51"/>
      <c r="K16" s="51"/>
      <c r="L16" s="51"/>
      <c r="M16" s="51"/>
      <c r="N16" s="51"/>
      <c r="O16" s="52"/>
      <c r="Q16" s="42" t="s">
        <v>541</v>
      </c>
    </row>
    <row r="17" spans="1:17" x14ac:dyDescent="0.15">
      <c r="A17" s="43"/>
      <c r="B17" s="55"/>
      <c r="C17" s="34" t="s">
        <v>543</v>
      </c>
      <c r="D17" s="34" t="s">
        <v>544</v>
      </c>
      <c r="E17" s="34" t="s">
        <v>545</v>
      </c>
      <c r="F17" s="34" t="s">
        <v>546</v>
      </c>
      <c r="G17" s="51"/>
      <c r="H17" s="51"/>
      <c r="I17" s="51"/>
      <c r="J17" s="51"/>
      <c r="K17" s="51"/>
      <c r="L17" s="51"/>
      <c r="M17" s="51"/>
      <c r="N17" s="51"/>
      <c r="O17" s="52"/>
      <c r="Q17" s="42" t="s">
        <v>547</v>
      </c>
    </row>
    <row r="18" spans="1:17" x14ac:dyDescent="0.15">
      <c r="A18" s="43"/>
      <c r="B18" s="55"/>
      <c r="C18" s="34" t="s">
        <v>549</v>
      </c>
      <c r="D18" s="34" t="s">
        <v>544</v>
      </c>
      <c r="E18" s="34" t="s">
        <v>550</v>
      </c>
      <c r="F18" s="34" t="s">
        <v>546</v>
      </c>
      <c r="G18" s="51"/>
      <c r="H18" s="51"/>
      <c r="I18" s="51"/>
      <c r="J18" s="51"/>
      <c r="K18" s="51"/>
      <c r="L18" s="51"/>
      <c r="M18" s="51"/>
      <c r="N18" s="51"/>
      <c r="O18" s="52"/>
      <c r="Q18" s="42" t="s">
        <v>551</v>
      </c>
    </row>
    <row r="19" spans="1:17" x14ac:dyDescent="0.15">
      <c r="A19" s="43"/>
      <c r="B19" s="55"/>
      <c r="C19" s="34" t="s">
        <v>553</v>
      </c>
      <c r="D19" s="34" t="s">
        <v>544</v>
      </c>
      <c r="E19" s="34" t="s">
        <v>554</v>
      </c>
      <c r="F19" s="34" t="s">
        <v>546</v>
      </c>
      <c r="G19" s="51"/>
      <c r="H19" s="51"/>
      <c r="I19" s="51"/>
      <c r="J19" s="51"/>
      <c r="K19" s="51"/>
      <c r="L19" s="51"/>
      <c r="M19" s="51"/>
      <c r="N19" s="51"/>
      <c r="O19" s="52"/>
      <c r="Q19" s="42" t="s">
        <v>555</v>
      </c>
    </row>
    <row r="20" spans="1:17" x14ac:dyDescent="0.15">
      <c r="A20" s="43"/>
      <c r="B20" s="55"/>
      <c r="C20" s="34" t="s">
        <v>557</v>
      </c>
      <c r="D20" s="34" t="s">
        <v>544</v>
      </c>
      <c r="E20" s="34" t="s">
        <v>558</v>
      </c>
      <c r="F20" s="34" t="s">
        <v>559</v>
      </c>
      <c r="G20" s="51"/>
      <c r="H20" s="51"/>
      <c r="I20" s="51"/>
      <c r="J20" s="51"/>
      <c r="K20" s="51"/>
      <c r="L20" s="51"/>
      <c r="M20" s="51"/>
      <c r="N20" s="51"/>
      <c r="O20" s="52"/>
      <c r="Q20" s="42" t="s">
        <v>560</v>
      </c>
    </row>
    <row r="21" spans="1:17" x14ac:dyDescent="0.15">
      <c r="A21" s="43"/>
      <c r="B21" s="55"/>
      <c r="C21" s="34"/>
      <c r="D21" s="34"/>
      <c r="E21" s="34"/>
      <c r="F21" s="34"/>
      <c r="G21" s="51"/>
      <c r="H21" s="51"/>
      <c r="I21" s="51"/>
      <c r="J21" s="51"/>
      <c r="K21" s="51"/>
      <c r="L21" s="51"/>
      <c r="M21" s="51"/>
      <c r="N21" s="51"/>
      <c r="O21" s="52"/>
      <c r="Q21" s="42" t="s">
        <v>562</v>
      </c>
    </row>
    <row r="22" spans="1:17" x14ac:dyDescent="0.15">
      <c r="A22" s="43"/>
      <c r="B22" s="55"/>
      <c r="C22" s="34"/>
      <c r="D22" s="34"/>
      <c r="E22" s="34"/>
      <c r="F22" s="34"/>
      <c r="G22" s="51"/>
      <c r="H22" s="51"/>
      <c r="I22" s="51"/>
      <c r="J22" s="51"/>
      <c r="K22" s="51"/>
      <c r="L22" s="51"/>
      <c r="M22" s="51"/>
      <c r="N22" s="51"/>
      <c r="O22" s="52"/>
      <c r="Q22" s="42" t="s">
        <v>564</v>
      </c>
    </row>
    <row r="23" spans="1:17" x14ac:dyDescent="0.15">
      <c r="A23" s="43"/>
      <c r="B23" s="55"/>
      <c r="C23" s="34"/>
      <c r="D23" s="34"/>
      <c r="E23" s="34"/>
      <c r="F23" s="34"/>
      <c r="G23" s="51"/>
      <c r="H23" s="51"/>
      <c r="I23" s="51"/>
      <c r="J23" s="51"/>
      <c r="K23" s="51"/>
      <c r="L23" s="51"/>
      <c r="M23" s="51"/>
      <c r="N23" s="51"/>
      <c r="O23" s="52"/>
      <c r="Q23" s="42" t="s">
        <v>566</v>
      </c>
    </row>
    <row r="24" spans="1:17" x14ac:dyDescent="0.15">
      <c r="A24" s="43"/>
      <c r="B24" s="55"/>
      <c r="C24" s="34"/>
      <c r="D24" s="34"/>
      <c r="E24" s="34"/>
      <c r="F24" s="34"/>
      <c r="G24" s="51"/>
      <c r="H24" s="51"/>
      <c r="I24" s="51"/>
      <c r="J24" s="51"/>
      <c r="K24" s="51"/>
      <c r="L24" s="51"/>
      <c r="M24" s="51"/>
      <c r="N24" s="51"/>
      <c r="O24" s="52"/>
    </row>
    <row r="25" spans="1:17" x14ac:dyDescent="0.15">
      <c r="A25" s="43"/>
      <c r="B25" s="55"/>
      <c r="C25" s="34"/>
      <c r="D25" s="34"/>
      <c r="E25" s="34"/>
      <c r="F25" s="34"/>
      <c r="G25" s="51"/>
      <c r="H25" s="51"/>
      <c r="I25" s="51"/>
      <c r="J25" s="51"/>
      <c r="K25" s="51"/>
      <c r="L25" s="51"/>
      <c r="M25" s="51"/>
      <c r="N25" s="51"/>
      <c r="O25" s="52"/>
      <c r="Q25" s="42" t="s">
        <v>568</v>
      </c>
    </row>
    <row r="26" spans="1:17" x14ac:dyDescent="0.15">
      <c r="A26" s="43"/>
      <c r="B26" s="55"/>
      <c r="C26" s="34"/>
      <c r="D26" s="34"/>
      <c r="E26" s="34"/>
      <c r="F26" s="34"/>
      <c r="G26" s="51"/>
      <c r="H26" s="51"/>
      <c r="I26" s="51"/>
      <c r="J26" s="51"/>
      <c r="K26" s="51"/>
      <c r="L26" s="51"/>
      <c r="M26" s="51"/>
      <c r="N26" s="51"/>
      <c r="O26" s="52"/>
    </row>
    <row r="27" spans="1:17" x14ac:dyDescent="0.15">
      <c r="A27" s="43"/>
      <c r="B27" s="55"/>
      <c r="C27" s="34"/>
      <c r="D27" s="34"/>
      <c r="E27" s="34"/>
      <c r="F27" s="34"/>
      <c r="G27" s="51"/>
      <c r="H27" s="51"/>
      <c r="I27" s="51"/>
      <c r="J27" s="51"/>
      <c r="K27" s="51"/>
      <c r="L27" s="51"/>
      <c r="M27" s="51"/>
      <c r="N27" s="51"/>
      <c r="O27" s="52"/>
    </row>
    <row r="28" spans="1:17" x14ac:dyDescent="0.15">
      <c r="A28" s="43"/>
      <c r="B28" s="55"/>
      <c r="C28" s="34"/>
      <c r="D28" s="34"/>
      <c r="E28" s="34"/>
      <c r="F28" s="34"/>
      <c r="G28" s="51"/>
      <c r="H28" s="51"/>
      <c r="I28" s="51"/>
      <c r="J28" s="51"/>
      <c r="K28" s="51"/>
      <c r="L28" s="51"/>
      <c r="M28" s="51"/>
      <c r="N28" s="51"/>
      <c r="O28" s="52"/>
      <c r="Q28" s="42" t="s">
        <v>570</v>
      </c>
    </row>
    <row r="29" spans="1:17" x14ac:dyDescent="0.15">
      <c r="A29" s="43"/>
      <c r="B29" s="55"/>
      <c r="C29" s="34"/>
      <c r="D29" s="34"/>
      <c r="E29" s="34"/>
      <c r="F29" s="34"/>
      <c r="G29" s="51"/>
      <c r="H29" s="51"/>
      <c r="I29" s="51"/>
      <c r="J29" s="51"/>
      <c r="K29" s="51"/>
      <c r="L29" s="51"/>
      <c r="M29" s="51"/>
      <c r="N29" s="51"/>
      <c r="O29" s="52"/>
      <c r="Q29" s="42" t="s">
        <v>572</v>
      </c>
    </row>
    <row r="30" spans="1:17" x14ac:dyDescent="0.15">
      <c r="A30" s="43"/>
      <c r="B30" s="55"/>
      <c r="C30" s="34"/>
      <c r="D30" s="34"/>
      <c r="E30" s="34"/>
      <c r="F30" s="34"/>
      <c r="G30" s="51"/>
      <c r="H30" s="51"/>
      <c r="I30" s="51"/>
      <c r="J30" s="51"/>
      <c r="K30" s="51"/>
      <c r="L30" s="51"/>
      <c r="M30" s="51"/>
      <c r="N30" s="51"/>
      <c r="O30" s="52"/>
      <c r="Q30" s="42" t="s">
        <v>574</v>
      </c>
    </row>
    <row r="31" spans="1:17" x14ac:dyDescent="0.15">
      <c r="A31" s="43"/>
      <c r="B31" s="55"/>
      <c r="C31" s="34"/>
      <c r="D31" s="34"/>
      <c r="E31" s="34"/>
      <c r="F31" s="34"/>
      <c r="G31" s="51"/>
      <c r="H31" s="51"/>
      <c r="I31" s="51"/>
      <c r="J31" s="51"/>
      <c r="K31" s="51"/>
      <c r="L31" s="51"/>
      <c r="M31" s="51"/>
      <c r="N31" s="51"/>
      <c r="O31" s="52"/>
      <c r="Q31" s="42" t="s">
        <v>576</v>
      </c>
    </row>
    <row r="32" spans="1:17" x14ac:dyDescent="0.15">
      <c r="A32" s="43"/>
      <c r="B32" s="55"/>
      <c r="C32" s="34"/>
      <c r="D32" s="34"/>
      <c r="E32" s="34"/>
      <c r="F32" s="34"/>
      <c r="G32" s="51"/>
      <c r="H32" s="51"/>
      <c r="I32" s="51"/>
      <c r="J32" s="51"/>
      <c r="K32" s="51"/>
      <c r="L32" s="51"/>
      <c r="M32" s="51"/>
      <c r="N32" s="51"/>
      <c r="O32" s="52"/>
    </row>
    <row r="33" spans="1:15" x14ac:dyDescent="0.15">
      <c r="A33" s="43"/>
      <c r="B33" s="55"/>
      <c r="C33" s="34"/>
      <c r="D33" s="34"/>
      <c r="E33" s="34"/>
      <c r="F33" s="34"/>
      <c r="G33" s="51"/>
      <c r="H33" s="51"/>
      <c r="I33" s="51"/>
      <c r="J33" s="51"/>
      <c r="K33" s="51"/>
      <c r="L33" s="51"/>
      <c r="M33" s="51"/>
      <c r="N33" s="51"/>
      <c r="O33" s="52"/>
    </row>
    <row r="34" spans="1:15" x14ac:dyDescent="0.15">
      <c r="A34" s="43"/>
      <c r="B34" s="55"/>
      <c r="C34" s="34"/>
      <c r="D34" s="34"/>
      <c r="E34" s="34"/>
      <c r="F34" s="34"/>
      <c r="G34" s="51"/>
      <c r="H34" s="51"/>
      <c r="I34" s="51"/>
      <c r="J34" s="51"/>
      <c r="K34" s="51"/>
      <c r="L34" s="51"/>
      <c r="M34" s="51"/>
      <c r="N34" s="51"/>
      <c r="O34" s="52"/>
    </row>
    <row r="35" spans="1:15" x14ac:dyDescent="0.15">
      <c r="A35" s="43"/>
      <c r="B35" s="55"/>
      <c r="C35" s="34"/>
      <c r="D35" s="34"/>
      <c r="E35" s="34"/>
      <c r="F35" s="34"/>
      <c r="G35" s="51"/>
      <c r="H35" s="51"/>
      <c r="I35" s="51"/>
      <c r="J35" s="51"/>
      <c r="K35" s="51"/>
      <c r="L35" s="51"/>
      <c r="M35" s="51"/>
      <c r="N35" s="51"/>
      <c r="O35" s="52"/>
    </row>
    <row r="36" spans="1:15" x14ac:dyDescent="0.15">
      <c r="A36" s="43"/>
      <c r="B36" s="55"/>
      <c r="C36" s="34"/>
      <c r="D36" s="34"/>
      <c r="E36" s="34"/>
      <c r="F36" s="34"/>
      <c r="G36" s="51"/>
      <c r="H36" s="51"/>
      <c r="I36" s="51"/>
      <c r="J36" s="51"/>
      <c r="K36" s="51"/>
      <c r="L36" s="51"/>
      <c r="M36" s="51"/>
      <c r="N36" s="51"/>
      <c r="O36" s="52"/>
    </row>
    <row r="37" spans="1:15" x14ac:dyDescent="0.15">
      <c r="A37" s="43"/>
      <c r="B37" s="55"/>
      <c r="C37" s="34"/>
      <c r="D37" s="34"/>
      <c r="E37" s="34"/>
      <c r="F37" s="34"/>
      <c r="G37" s="51"/>
      <c r="H37" s="51"/>
      <c r="I37" s="51"/>
      <c r="J37" s="51"/>
      <c r="K37" s="51"/>
      <c r="L37" s="51"/>
      <c r="M37" s="51"/>
      <c r="N37" s="51"/>
      <c r="O37" s="52"/>
    </row>
    <row r="38" spans="1:15" x14ac:dyDescent="0.15">
      <c r="A38" s="43"/>
      <c r="B38" s="55"/>
      <c r="C38" s="34"/>
      <c r="D38" s="34"/>
      <c r="E38" s="34"/>
      <c r="F38" s="34"/>
      <c r="G38" s="51"/>
      <c r="H38" s="51"/>
      <c r="I38" s="51"/>
      <c r="J38" s="51"/>
      <c r="K38" s="51"/>
      <c r="L38" s="51"/>
      <c r="M38" s="51"/>
      <c r="N38" s="51"/>
      <c r="O38" s="52"/>
    </row>
    <row r="39" spans="1:15" x14ac:dyDescent="0.15">
      <c r="A39" s="43"/>
      <c r="B39" s="55"/>
      <c r="C39" s="34"/>
      <c r="D39" s="34"/>
      <c r="E39" s="34"/>
      <c r="F39" s="34"/>
      <c r="G39" s="51"/>
      <c r="H39" s="51"/>
      <c r="I39" s="51"/>
      <c r="J39" s="51"/>
      <c r="K39" s="51"/>
      <c r="L39" s="51"/>
      <c r="M39" s="51"/>
      <c r="N39" s="51"/>
      <c r="O39" s="52"/>
    </row>
    <row r="40" spans="1:15" x14ac:dyDescent="0.15">
      <c r="A40" s="43"/>
      <c r="B40" s="55"/>
      <c r="C40" s="34"/>
      <c r="D40" s="34"/>
      <c r="E40" s="34"/>
      <c r="F40" s="34"/>
      <c r="G40" s="51"/>
      <c r="H40" s="51"/>
      <c r="I40" s="51"/>
      <c r="J40" s="51"/>
      <c r="K40" s="51"/>
      <c r="L40" s="51"/>
      <c r="M40" s="51"/>
      <c r="N40" s="51"/>
      <c r="O40" s="52"/>
    </row>
    <row r="41" spans="1:15" x14ac:dyDescent="0.15">
      <c r="A41" s="43"/>
      <c r="B41" s="55"/>
      <c r="C41" s="34"/>
      <c r="D41" s="34"/>
      <c r="E41" s="34"/>
      <c r="F41" s="34"/>
      <c r="G41" s="51"/>
      <c r="H41" s="51"/>
      <c r="I41" s="51"/>
      <c r="J41" s="51"/>
      <c r="K41" s="51"/>
      <c r="L41" s="51"/>
      <c r="M41" s="51"/>
      <c r="N41" s="51"/>
      <c r="O41" s="52"/>
    </row>
    <row r="42" spans="1:15" x14ac:dyDescent="0.15">
      <c r="A42" s="43"/>
      <c r="B42" s="55"/>
      <c r="C42" s="34"/>
      <c r="D42" s="34"/>
      <c r="E42" s="34"/>
      <c r="F42" s="34"/>
      <c r="G42" s="51"/>
      <c r="H42" s="51"/>
      <c r="I42" s="51"/>
      <c r="J42" s="51"/>
      <c r="K42" s="51"/>
      <c r="L42" s="51"/>
      <c r="M42" s="51"/>
      <c r="N42" s="51"/>
      <c r="O42" s="52"/>
    </row>
    <row r="43" spans="1:15" x14ac:dyDescent="0.15">
      <c r="A43" s="43"/>
      <c r="B43" s="55"/>
      <c r="C43" s="34"/>
      <c r="D43" s="34"/>
      <c r="E43" s="34"/>
      <c r="F43" s="34"/>
      <c r="G43" s="51"/>
      <c r="H43" s="51"/>
      <c r="I43" s="51"/>
      <c r="J43" s="51"/>
      <c r="K43" s="51"/>
      <c r="L43" s="51"/>
      <c r="M43" s="51"/>
      <c r="N43" s="51"/>
      <c r="O43" s="52"/>
    </row>
    <row r="44" spans="1:15" x14ac:dyDescent="0.15">
      <c r="A44" s="43"/>
      <c r="B44" s="55"/>
      <c r="C44" s="34"/>
      <c r="D44" s="34"/>
      <c r="E44" s="34"/>
      <c r="F44" s="34"/>
      <c r="G44" s="51"/>
      <c r="H44" s="51"/>
      <c r="I44" s="51"/>
      <c r="J44" s="51"/>
      <c r="K44" s="51"/>
      <c r="L44" s="51"/>
      <c r="M44" s="51"/>
      <c r="N44" s="51"/>
      <c r="O44" s="52"/>
    </row>
    <row r="45" spans="1:15" x14ac:dyDescent="0.15">
      <c r="A45" s="43"/>
      <c r="B45" s="55"/>
      <c r="C45" s="34"/>
      <c r="D45" s="34"/>
      <c r="E45" s="34"/>
      <c r="F45" s="34"/>
      <c r="G45" s="51"/>
      <c r="H45" s="51"/>
      <c r="I45" s="51"/>
      <c r="J45" s="51"/>
      <c r="K45" s="51"/>
      <c r="L45" s="51"/>
      <c r="M45" s="51"/>
      <c r="N45" s="51"/>
      <c r="O45" s="52"/>
    </row>
    <row r="46" spans="1:15" x14ac:dyDescent="0.15">
      <c r="A46" s="43"/>
      <c r="B46" s="55"/>
      <c r="C46" s="34"/>
      <c r="D46" s="34"/>
      <c r="E46" s="34"/>
      <c r="F46" s="34"/>
      <c r="G46" s="51"/>
      <c r="H46" s="51"/>
      <c r="I46" s="51"/>
      <c r="J46" s="51"/>
      <c r="K46" s="51"/>
      <c r="L46" s="51"/>
      <c r="M46" s="51"/>
      <c r="N46" s="51"/>
      <c r="O46" s="52"/>
    </row>
    <row r="47" spans="1:15" x14ac:dyDescent="0.15">
      <c r="A47" s="43"/>
      <c r="B47" s="55"/>
      <c r="C47" s="34"/>
      <c r="D47" s="34"/>
      <c r="E47" s="34"/>
      <c r="F47" s="34"/>
      <c r="G47" s="51"/>
      <c r="H47" s="51"/>
      <c r="I47" s="51"/>
      <c r="J47" s="51"/>
      <c r="K47" s="51"/>
      <c r="L47" s="51"/>
      <c r="M47" s="51"/>
      <c r="N47" s="51"/>
      <c r="O47" s="52"/>
    </row>
    <row r="48" spans="1:15" x14ac:dyDescent="0.15">
      <c r="A48" s="43"/>
      <c r="B48" s="55"/>
      <c r="C48" s="34"/>
      <c r="D48" s="34"/>
      <c r="E48" s="34"/>
      <c r="F48" s="34"/>
      <c r="G48" s="51"/>
      <c r="H48" s="51"/>
      <c r="I48" s="51"/>
      <c r="J48" s="51"/>
      <c r="K48" s="51"/>
      <c r="L48" s="51"/>
      <c r="M48" s="51"/>
      <c r="N48" s="51"/>
      <c r="O48" s="52"/>
    </row>
    <row r="49" spans="1:15" x14ac:dyDescent="0.15">
      <c r="A49" s="43"/>
      <c r="B49" s="55"/>
      <c r="C49" s="34"/>
      <c r="D49" s="34"/>
      <c r="E49" s="34"/>
      <c r="F49" s="34"/>
      <c r="G49" s="51"/>
      <c r="H49" s="51"/>
      <c r="I49" s="51"/>
      <c r="J49" s="51"/>
      <c r="K49" s="51"/>
      <c r="L49" s="51"/>
      <c r="M49" s="51"/>
      <c r="N49" s="51"/>
      <c r="O49" s="52"/>
    </row>
    <row r="50" spans="1:15" x14ac:dyDescent="0.15">
      <c r="A50" s="43"/>
      <c r="B50" s="55"/>
      <c r="C50" s="34"/>
      <c r="D50" s="34"/>
      <c r="E50" s="34"/>
      <c r="F50" s="34"/>
      <c r="G50" s="51"/>
      <c r="H50" s="51"/>
      <c r="I50" s="51"/>
      <c r="J50" s="51"/>
      <c r="K50" s="51"/>
      <c r="L50" s="51"/>
      <c r="M50" s="51"/>
      <c r="N50" s="51"/>
      <c r="O50" s="52"/>
    </row>
    <row r="51" spans="1:15" x14ac:dyDescent="0.15">
      <c r="A51" s="43"/>
      <c r="B51" s="55"/>
      <c r="C51" s="34"/>
      <c r="D51" s="34"/>
      <c r="E51" s="34"/>
      <c r="F51" s="34"/>
      <c r="G51" s="51"/>
      <c r="H51" s="51"/>
      <c r="I51" s="51"/>
      <c r="J51" s="51"/>
      <c r="K51" s="51"/>
      <c r="L51" s="51"/>
      <c r="M51" s="51"/>
      <c r="N51" s="51"/>
      <c r="O51" s="52"/>
    </row>
    <row r="52" spans="1:15" x14ac:dyDescent="0.15">
      <c r="A52" s="43"/>
      <c r="B52" s="55"/>
      <c r="C52" s="34"/>
      <c r="D52" s="34"/>
      <c r="E52" s="34"/>
      <c r="F52" s="34"/>
      <c r="G52" s="51"/>
      <c r="H52" s="51"/>
      <c r="I52" s="51"/>
      <c r="J52" s="51"/>
      <c r="K52" s="51"/>
      <c r="L52" s="51"/>
      <c r="M52" s="51"/>
      <c r="N52" s="51"/>
      <c r="O52" s="52"/>
    </row>
    <row r="53" spans="1:15" x14ac:dyDescent="0.15">
      <c r="A53" s="43"/>
      <c r="B53" s="55"/>
      <c r="C53" s="34"/>
      <c r="D53" s="34"/>
      <c r="E53" s="34"/>
      <c r="F53" s="34"/>
      <c r="G53" s="51"/>
      <c r="H53" s="51"/>
      <c r="I53" s="51"/>
      <c r="J53" s="51"/>
      <c r="K53" s="51"/>
      <c r="L53" s="51"/>
      <c r="M53" s="51"/>
      <c r="N53" s="51"/>
      <c r="O53" s="52"/>
    </row>
    <row r="54" spans="1:15" x14ac:dyDescent="0.15">
      <c r="A54" s="43"/>
      <c r="B54" s="55"/>
      <c r="C54" s="34"/>
      <c r="D54" s="34"/>
      <c r="E54" s="34"/>
      <c r="F54" s="34"/>
      <c r="G54" s="51"/>
      <c r="H54" s="51"/>
      <c r="I54" s="51"/>
      <c r="J54" s="51"/>
      <c r="K54" s="51"/>
      <c r="L54" s="51"/>
      <c r="M54" s="51"/>
      <c r="N54" s="51"/>
      <c r="O54" s="52"/>
    </row>
    <row r="55" spans="1:15" x14ac:dyDescent="0.15">
      <c r="A55" s="43"/>
      <c r="B55" s="55"/>
      <c r="C55" s="34"/>
      <c r="D55" s="34"/>
      <c r="E55" s="34"/>
      <c r="F55" s="34"/>
      <c r="G55" s="51"/>
      <c r="H55" s="51"/>
      <c r="I55" s="51"/>
      <c r="J55" s="51"/>
      <c r="K55" s="51"/>
      <c r="L55" s="51"/>
      <c r="M55" s="51"/>
      <c r="N55" s="51"/>
      <c r="O55" s="52"/>
    </row>
    <row r="56" spans="1:15" x14ac:dyDescent="0.15">
      <c r="A56" s="43"/>
      <c r="B56" s="55"/>
      <c r="C56" s="34"/>
      <c r="D56" s="34"/>
      <c r="E56" s="34"/>
      <c r="F56" s="34"/>
      <c r="G56" s="51"/>
      <c r="H56" s="51"/>
      <c r="I56" s="51"/>
      <c r="J56" s="51"/>
      <c r="K56" s="51"/>
      <c r="L56" s="51"/>
      <c r="M56" s="51"/>
      <c r="N56" s="51"/>
      <c r="O56" s="52"/>
    </row>
    <row r="57" spans="1:15" x14ac:dyDescent="0.15">
      <c r="A57" s="43"/>
      <c r="B57" s="55"/>
      <c r="C57" s="34"/>
      <c r="D57" s="34"/>
      <c r="E57" s="34"/>
      <c r="F57" s="34"/>
      <c r="G57" s="51"/>
      <c r="H57" s="51"/>
      <c r="I57" s="51"/>
      <c r="J57" s="51"/>
      <c r="K57" s="51"/>
      <c r="L57" s="51"/>
      <c r="M57" s="51"/>
      <c r="N57" s="51"/>
      <c r="O57" s="52"/>
    </row>
    <row r="58" spans="1:15" x14ac:dyDescent="0.15">
      <c r="A58" s="43"/>
      <c r="B58" s="55"/>
      <c r="C58" s="34"/>
      <c r="D58" s="34"/>
      <c r="E58" s="34"/>
      <c r="F58" s="34"/>
      <c r="G58" s="51"/>
      <c r="H58" s="51"/>
      <c r="I58" s="51"/>
      <c r="J58" s="51"/>
      <c r="K58" s="51"/>
      <c r="L58" s="51"/>
      <c r="M58" s="51"/>
      <c r="N58" s="51"/>
      <c r="O58" s="52"/>
    </row>
    <row r="59" spans="1:15" x14ac:dyDescent="0.15">
      <c r="A59" s="43"/>
      <c r="B59" s="55"/>
      <c r="C59" s="34"/>
      <c r="D59" s="34"/>
      <c r="E59" s="34"/>
      <c r="F59" s="34"/>
      <c r="G59" s="51"/>
      <c r="H59" s="51"/>
      <c r="I59" s="51"/>
      <c r="J59" s="51"/>
      <c r="K59" s="51"/>
      <c r="L59" s="51"/>
      <c r="M59" s="51"/>
      <c r="N59" s="51"/>
      <c r="O59" s="52"/>
    </row>
    <row r="60" spans="1:15" x14ac:dyDescent="0.15">
      <c r="A60" s="43"/>
      <c r="B60" s="55"/>
      <c r="C60" s="34"/>
      <c r="D60" s="34"/>
      <c r="E60" s="34"/>
      <c r="F60" s="34"/>
      <c r="G60" s="51"/>
      <c r="H60" s="51"/>
      <c r="I60" s="51"/>
      <c r="J60" s="51"/>
      <c r="K60" s="51"/>
      <c r="L60" s="51"/>
      <c r="M60" s="51"/>
      <c r="N60" s="51"/>
      <c r="O60" s="52"/>
    </row>
    <row r="61" spans="1:15" x14ac:dyDescent="0.15">
      <c r="A61" s="43"/>
      <c r="B61" s="55"/>
      <c r="C61" s="34"/>
      <c r="D61" s="34"/>
      <c r="E61" s="34"/>
      <c r="F61" s="34"/>
      <c r="G61" s="51"/>
      <c r="H61" s="51"/>
      <c r="I61" s="51"/>
      <c r="J61" s="51"/>
      <c r="K61" s="51"/>
      <c r="L61" s="51"/>
      <c r="M61" s="51"/>
      <c r="N61" s="51"/>
      <c r="O61" s="52"/>
    </row>
    <row r="62" spans="1:15" x14ac:dyDescent="0.15">
      <c r="A62" s="43"/>
      <c r="B62" s="55"/>
      <c r="C62" s="34"/>
      <c r="D62" s="34"/>
      <c r="E62" s="34"/>
      <c r="F62" s="34"/>
      <c r="G62" s="51"/>
      <c r="H62" s="51"/>
      <c r="I62" s="51"/>
      <c r="J62" s="51"/>
      <c r="K62" s="51"/>
      <c r="L62" s="51"/>
      <c r="M62" s="51"/>
      <c r="N62" s="51"/>
      <c r="O62" s="52"/>
    </row>
    <row r="63" spans="1:15" x14ac:dyDescent="0.15">
      <c r="A63" s="43"/>
      <c r="B63" s="55"/>
      <c r="C63" s="34"/>
      <c r="D63" s="34"/>
      <c r="E63" s="34"/>
      <c r="F63" s="34"/>
      <c r="G63" s="51"/>
      <c r="H63" s="51"/>
      <c r="I63" s="51"/>
      <c r="J63" s="51"/>
      <c r="K63" s="51"/>
      <c r="L63" s="51"/>
      <c r="M63" s="51"/>
      <c r="N63" s="51"/>
      <c r="O63" s="52"/>
    </row>
    <row r="64" spans="1:15" x14ac:dyDescent="0.15">
      <c r="A64" s="43"/>
      <c r="B64" s="55"/>
      <c r="C64" s="34"/>
      <c r="D64" s="34"/>
      <c r="E64" s="34"/>
      <c r="F64" s="34"/>
      <c r="G64" s="51"/>
      <c r="H64" s="51"/>
      <c r="I64" s="51"/>
      <c r="J64" s="51"/>
      <c r="K64" s="51"/>
      <c r="L64" s="51"/>
      <c r="M64" s="51"/>
      <c r="N64" s="51"/>
      <c r="O64" s="52"/>
    </row>
    <row r="65" spans="1:15" x14ac:dyDescent="0.15">
      <c r="A65" s="43"/>
      <c r="B65" s="55"/>
      <c r="C65" s="34"/>
      <c r="D65" s="34"/>
      <c r="E65" s="34"/>
      <c r="F65" s="34"/>
      <c r="G65" s="51"/>
      <c r="H65" s="51"/>
      <c r="I65" s="51"/>
      <c r="J65" s="51"/>
      <c r="K65" s="51"/>
      <c r="L65" s="51"/>
      <c r="M65" s="51"/>
      <c r="N65" s="51"/>
      <c r="O65" s="52"/>
    </row>
    <row r="66" spans="1:15" x14ac:dyDescent="0.15">
      <c r="A66" s="43"/>
      <c r="B66" s="55"/>
      <c r="C66" s="34"/>
      <c r="D66" s="34"/>
      <c r="E66" s="34"/>
      <c r="F66" s="34"/>
      <c r="G66" s="51"/>
      <c r="H66" s="51"/>
      <c r="I66" s="51"/>
      <c r="J66" s="51"/>
      <c r="K66" s="51"/>
      <c r="L66" s="51"/>
      <c r="M66" s="51"/>
      <c r="N66" s="51"/>
      <c r="O66" s="52"/>
    </row>
    <row r="67" spans="1:15" x14ac:dyDescent="0.15">
      <c r="A67" s="43"/>
      <c r="B67" s="55"/>
      <c r="C67" s="34"/>
      <c r="D67" s="34"/>
      <c r="E67" s="34"/>
      <c r="F67" s="34"/>
      <c r="G67" s="51"/>
      <c r="H67" s="51"/>
      <c r="I67" s="51"/>
      <c r="J67" s="51"/>
      <c r="K67" s="51"/>
      <c r="L67" s="51"/>
      <c r="M67" s="51"/>
      <c r="N67" s="51"/>
      <c r="O67" s="52"/>
    </row>
    <row r="68" spans="1:15" x14ac:dyDescent="0.15">
      <c r="A68" s="43"/>
      <c r="B68" s="55"/>
      <c r="C68" s="34"/>
      <c r="D68" s="34"/>
      <c r="E68" s="34"/>
      <c r="F68" s="34"/>
      <c r="G68" s="51"/>
      <c r="H68" s="51"/>
      <c r="I68" s="51"/>
      <c r="J68" s="51"/>
      <c r="K68" s="51"/>
      <c r="L68" s="51"/>
      <c r="M68" s="51"/>
      <c r="N68" s="51"/>
      <c r="O68" s="52"/>
    </row>
    <row r="69" spans="1:15" x14ac:dyDescent="0.15">
      <c r="A69" s="43"/>
      <c r="B69" s="55"/>
      <c r="C69" s="34"/>
      <c r="D69" s="34"/>
      <c r="E69" s="34"/>
      <c r="F69" s="34"/>
      <c r="G69" s="51"/>
      <c r="H69" s="51"/>
      <c r="I69" s="51"/>
      <c r="J69" s="51"/>
      <c r="K69" s="51"/>
      <c r="L69" s="51"/>
      <c r="M69" s="51"/>
      <c r="N69" s="51"/>
      <c r="O69" s="52"/>
    </row>
    <row r="70" spans="1:15" x14ac:dyDescent="0.15">
      <c r="A70" s="43"/>
      <c r="B70" s="55"/>
      <c r="C70" s="34"/>
      <c r="D70" s="34"/>
      <c r="E70" s="34"/>
      <c r="F70" s="34"/>
      <c r="G70" s="51"/>
      <c r="H70" s="51"/>
      <c r="I70" s="51"/>
      <c r="J70" s="51"/>
      <c r="K70" s="51"/>
      <c r="L70" s="51"/>
      <c r="M70" s="51"/>
      <c r="N70" s="51"/>
      <c r="O70" s="52"/>
    </row>
    <row r="71" spans="1:15" x14ac:dyDescent="0.15">
      <c r="A71" s="43"/>
      <c r="B71" s="55"/>
      <c r="C71" s="34"/>
      <c r="D71" s="34"/>
      <c r="E71" s="34"/>
      <c r="F71" s="34"/>
      <c r="G71" s="51"/>
      <c r="H71" s="51"/>
      <c r="I71" s="51"/>
      <c r="J71" s="51"/>
      <c r="K71" s="51"/>
      <c r="L71" s="51"/>
      <c r="M71" s="51"/>
      <c r="N71" s="51"/>
      <c r="O71" s="52"/>
    </row>
    <row r="72" spans="1:15" x14ac:dyDescent="0.15">
      <c r="A72" s="43"/>
      <c r="B72" s="55"/>
      <c r="C72" s="34"/>
      <c r="D72" s="34"/>
      <c r="E72" s="34"/>
      <c r="F72" s="34"/>
      <c r="G72" s="51"/>
      <c r="H72" s="51"/>
      <c r="I72" s="51"/>
      <c r="J72" s="51"/>
      <c r="K72" s="51"/>
      <c r="L72" s="51"/>
      <c r="M72" s="51"/>
      <c r="N72" s="51"/>
      <c r="O72" s="52"/>
    </row>
    <row r="73" spans="1:15" x14ac:dyDescent="0.15">
      <c r="A73" s="43"/>
      <c r="B73" s="55"/>
      <c r="C73" s="34"/>
      <c r="D73" s="34"/>
      <c r="E73" s="34"/>
      <c r="F73" s="34"/>
      <c r="G73" s="51"/>
      <c r="H73" s="51"/>
      <c r="I73" s="51"/>
      <c r="J73" s="51"/>
      <c r="K73" s="51"/>
      <c r="L73" s="51"/>
      <c r="M73" s="51"/>
      <c r="N73" s="51"/>
      <c r="O73" s="52"/>
    </row>
    <row r="74" spans="1:15" x14ac:dyDescent="0.15">
      <c r="A74" s="43"/>
      <c r="B74" s="55"/>
      <c r="C74" s="34"/>
      <c r="D74" s="34"/>
      <c r="E74" s="34"/>
      <c r="F74" s="34"/>
      <c r="G74" s="51"/>
      <c r="H74" s="51"/>
      <c r="I74" s="51"/>
      <c r="J74" s="51"/>
      <c r="K74" s="51"/>
      <c r="L74" s="51"/>
      <c r="M74" s="51"/>
      <c r="N74" s="51"/>
      <c r="O74" s="52"/>
    </row>
    <row r="75" spans="1:15" x14ac:dyDescent="0.15">
      <c r="A75" s="43"/>
      <c r="B75" s="55"/>
      <c r="C75" s="34"/>
      <c r="D75" s="34"/>
      <c r="E75" s="34"/>
      <c r="F75" s="34"/>
      <c r="G75" s="51"/>
      <c r="H75" s="51"/>
      <c r="I75" s="51"/>
      <c r="J75" s="51"/>
      <c r="K75" s="51"/>
      <c r="L75" s="51"/>
      <c r="M75" s="51"/>
      <c r="N75" s="51"/>
      <c r="O75" s="52"/>
    </row>
    <row r="76" spans="1:15" x14ac:dyDescent="0.15">
      <c r="A76" s="43"/>
      <c r="B76" s="55"/>
      <c r="C76" s="34"/>
      <c r="D76" s="34"/>
      <c r="E76" s="34"/>
      <c r="F76" s="34"/>
      <c r="G76" s="51"/>
      <c r="H76" s="51"/>
      <c r="I76" s="51"/>
      <c r="J76" s="51"/>
      <c r="K76" s="51"/>
      <c r="L76" s="51"/>
      <c r="M76" s="51"/>
      <c r="N76" s="51"/>
      <c r="O76" s="52"/>
    </row>
    <row r="77" spans="1:15" x14ac:dyDescent="0.15">
      <c r="A77" s="43"/>
      <c r="B77" s="55"/>
      <c r="C77" s="34"/>
      <c r="D77" s="34"/>
      <c r="E77" s="34"/>
      <c r="F77" s="34"/>
      <c r="G77" s="51"/>
      <c r="H77" s="51"/>
      <c r="I77" s="51"/>
      <c r="J77" s="51"/>
      <c r="K77" s="51"/>
      <c r="L77" s="51"/>
      <c r="M77" s="51"/>
      <c r="N77" s="51"/>
      <c r="O77" s="52"/>
    </row>
    <row r="78" spans="1:15" x14ac:dyDescent="0.15">
      <c r="A78" s="43"/>
      <c r="B78" s="55"/>
      <c r="C78" s="34"/>
      <c r="D78" s="34"/>
      <c r="E78" s="34"/>
      <c r="F78" s="34"/>
      <c r="G78" s="51"/>
      <c r="H78" s="51"/>
      <c r="I78" s="51"/>
      <c r="J78" s="51"/>
      <c r="K78" s="51"/>
      <c r="L78" s="51"/>
      <c r="M78" s="51"/>
      <c r="N78" s="51"/>
      <c r="O78" s="52"/>
    </row>
    <row r="79" spans="1:15" x14ac:dyDescent="0.15">
      <c r="A79" s="43"/>
      <c r="B79" s="55"/>
      <c r="C79" s="34"/>
      <c r="D79" s="34"/>
      <c r="E79" s="34"/>
      <c r="F79" s="34"/>
      <c r="G79" s="51"/>
      <c r="H79" s="51"/>
      <c r="I79" s="51"/>
      <c r="J79" s="51"/>
      <c r="K79" s="51"/>
      <c r="L79" s="51"/>
      <c r="M79" s="51"/>
      <c r="N79" s="51"/>
      <c r="O79" s="52"/>
    </row>
    <row r="80" spans="1:15" x14ac:dyDescent="0.15">
      <c r="A80" s="43"/>
      <c r="B80" s="55"/>
      <c r="C80" s="34"/>
      <c r="D80" s="34"/>
      <c r="E80" s="34"/>
      <c r="F80" s="34"/>
      <c r="G80" s="51"/>
      <c r="H80" s="51"/>
      <c r="I80" s="51"/>
      <c r="J80" s="51"/>
      <c r="K80" s="51"/>
      <c r="L80" s="51"/>
      <c r="M80" s="51"/>
      <c r="N80" s="51"/>
      <c r="O80" s="52"/>
    </row>
    <row r="81" spans="1:15" x14ac:dyDescent="0.15">
      <c r="A81" s="43"/>
      <c r="B81" s="55"/>
      <c r="C81" s="34"/>
      <c r="D81" s="34"/>
      <c r="E81" s="34"/>
      <c r="F81" s="34"/>
      <c r="G81" s="51"/>
      <c r="H81" s="51"/>
      <c r="I81" s="51"/>
      <c r="J81" s="51"/>
      <c r="K81" s="51"/>
      <c r="L81" s="51"/>
      <c r="M81" s="51"/>
      <c r="N81" s="51"/>
      <c r="O81" s="52"/>
    </row>
    <row r="82" spans="1:15" x14ac:dyDescent="0.15">
      <c r="A82" s="43"/>
      <c r="B82" s="55"/>
      <c r="C82" s="34"/>
      <c r="D82" s="34"/>
      <c r="E82" s="34"/>
      <c r="F82" s="34"/>
      <c r="G82" s="51"/>
      <c r="H82" s="51"/>
      <c r="I82" s="51"/>
      <c r="J82" s="51"/>
      <c r="K82" s="51"/>
      <c r="L82" s="51"/>
      <c r="M82" s="51"/>
      <c r="N82" s="51"/>
      <c r="O82" s="52"/>
    </row>
    <row r="83" spans="1:15" x14ac:dyDescent="0.15">
      <c r="A83" s="43"/>
      <c r="B83" s="55"/>
      <c r="C83" s="34"/>
      <c r="D83" s="34"/>
      <c r="E83" s="34"/>
      <c r="F83" s="34"/>
      <c r="G83" s="51"/>
      <c r="H83" s="51"/>
      <c r="I83" s="51"/>
      <c r="J83" s="51"/>
      <c r="K83" s="51"/>
      <c r="L83" s="51"/>
      <c r="M83" s="51"/>
      <c r="N83" s="51"/>
      <c r="O83" s="52"/>
    </row>
    <row r="84" spans="1:15" x14ac:dyDescent="0.15">
      <c r="A84" s="43"/>
      <c r="B84" s="55"/>
      <c r="C84" s="34"/>
      <c r="D84" s="34"/>
      <c r="E84" s="34"/>
      <c r="F84" s="34"/>
      <c r="G84" s="51"/>
      <c r="H84" s="51"/>
      <c r="I84" s="51"/>
      <c r="J84" s="51"/>
      <c r="K84" s="51"/>
      <c r="L84" s="51"/>
      <c r="M84" s="51"/>
      <c r="N84" s="51"/>
      <c r="O84" s="52"/>
    </row>
    <row r="85" spans="1:15" x14ac:dyDescent="0.15">
      <c r="A85" s="43"/>
      <c r="B85" s="55"/>
      <c r="C85" s="34"/>
      <c r="D85" s="34"/>
      <c r="E85" s="34"/>
      <c r="F85" s="34"/>
      <c r="G85" s="51"/>
      <c r="H85" s="51"/>
      <c r="I85" s="51"/>
      <c r="J85" s="51"/>
      <c r="K85" s="51"/>
      <c r="L85" s="51"/>
      <c r="M85" s="51"/>
      <c r="N85" s="51"/>
      <c r="O85" s="52"/>
    </row>
    <row r="86" spans="1:15" x14ac:dyDescent="0.15">
      <c r="A86" s="43"/>
      <c r="B86" s="55"/>
      <c r="C86" s="34"/>
      <c r="D86" s="34"/>
      <c r="E86" s="34"/>
      <c r="F86" s="34"/>
      <c r="G86" s="51"/>
      <c r="H86" s="51"/>
      <c r="I86" s="51"/>
      <c r="J86" s="51"/>
      <c r="K86" s="51"/>
      <c r="L86" s="51"/>
      <c r="M86" s="51"/>
      <c r="N86" s="51"/>
      <c r="O86" s="52"/>
    </row>
    <row r="87" spans="1:15" x14ac:dyDescent="0.15">
      <c r="A87" s="43"/>
      <c r="B87" s="55"/>
      <c r="C87" s="34"/>
      <c r="D87" s="34"/>
      <c r="E87" s="34"/>
      <c r="F87" s="34"/>
      <c r="G87" s="51"/>
      <c r="H87" s="51"/>
      <c r="I87" s="51"/>
      <c r="J87" s="51"/>
      <c r="K87" s="51"/>
      <c r="L87" s="51"/>
      <c r="M87" s="51"/>
      <c r="N87" s="51"/>
      <c r="O87" s="52"/>
    </row>
    <row r="88" spans="1:15" x14ac:dyDescent="0.15">
      <c r="A88" s="43"/>
      <c r="B88" s="55"/>
      <c r="C88" s="34"/>
      <c r="D88" s="34"/>
      <c r="E88" s="34"/>
      <c r="F88" s="34"/>
      <c r="G88" s="51"/>
      <c r="H88" s="51"/>
      <c r="I88" s="51"/>
      <c r="J88" s="51"/>
      <c r="K88" s="51"/>
      <c r="L88" s="51"/>
      <c r="M88" s="51"/>
      <c r="N88" s="51"/>
      <c r="O88" s="52"/>
    </row>
    <row r="89" spans="1:15" x14ac:dyDescent="0.15">
      <c r="A89" s="43"/>
      <c r="B89" s="55"/>
      <c r="C89" s="34"/>
      <c r="D89" s="34"/>
      <c r="E89" s="34"/>
      <c r="F89" s="34"/>
      <c r="G89" s="51"/>
      <c r="H89" s="51"/>
      <c r="I89" s="51"/>
      <c r="J89" s="51"/>
      <c r="K89" s="51"/>
      <c r="L89" s="51"/>
      <c r="M89" s="51"/>
      <c r="N89" s="51"/>
      <c r="O89" s="52"/>
    </row>
    <row r="90" spans="1:15" x14ac:dyDescent="0.15">
      <c r="A90" s="43"/>
      <c r="B90" s="55"/>
      <c r="C90" s="34"/>
      <c r="D90" s="34"/>
      <c r="E90" s="34"/>
      <c r="F90" s="34"/>
      <c r="G90" s="51"/>
      <c r="H90" s="51"/>
      <c r="I90" s="51"/>
      <c r="J90" s="51"/>
      <c r="K90" s="51"/>
      <c r="L90" s="51"/>
      <c r="M90" s="51"/>
      <c r="N90" s="51"/>
      <c r="O90" s="52"/>
    </row>
    <row r="91" spans="1:15" x14ac:dyDescent="0.15">
      <c r="A91" s="43"/>
      <c r="B91" s="55"/>
      <c r="C91" s="34"/>
      <c r="D91" s="34"/>
      <c r="E91" s="34"/>
      <c r="F91" s="34"/>
      <c r="G91" s="51"/>
      <c r="H91" s="51"/>
      <c r="I91" s="51"/>
      <c r="J91" s="51"/>
      <c r="K91" s="51"/>
      <c r="L91" s="51"/>
      <c r="M91" s="51"/>
      <c r="N91" s="51"/>
      <c r="O91" s="52"/>
    </row>
    <row r="92" spans="1:15" x14ac:dyDescent="0.15">
      <c r="A92" s="43"/>
      <c r="B92" s="55"/>
      <c r="C92" s="34"/>
      <c r="D92" s="34"/>
      <c r="E92" s="34"/>
      <c r="F92" s="34"/>
      <c r="G92" s="51"/>
      <c r="H92" s="51"/>
      <c r="I92" s="51"/>
      <c r="J92" s="51"/>
      <c r="K92" s="51"/>
      <c r="L92" s="51"/>
      <c r="M92" s="51"/>
      <c r="N92" s="51"/>
      <c r="O92" s="52"/>
    </row>
    <row r="93" spans="1:15" x14ac:dyDescent="0.15">
      <c r="A93" s="43"/>
      <c r="B93" s="55"/>
      <c r="C93" s="34"/>
      <c r="D93" s="34"/>
      <c r="E93" s="34"/>
      <c r="F93" s="34"/>
      <c r="G93" s="51"/>
      <c r="H93" s="51"/>
      <c r="I93" s="51"/>
      <c r="J93" s="51"/>
      <c r="K93" s="51"/>
      <c r="L93" s="51"/>
      <c r="M93" s="51"/>
      <c r="N93" s="51"/>
      <c r="O93" s="52"/>
    </row>
    <row r="94" spans="1:15" x14ac:dyDescent="0.15">
      <c r="A94" s="43"/>
      <c r="B94" s="55"/>
      <c r="C94" s="34"/>
      <c r="D94" s="34"/>
      <c r="E94" s="34"/>
      <c r="F94" s="34"/>
      <c r="G94" s="51"/>
      <c r="H94" s="51"/>
      <c r="I94" s="51"/>
      <c r="J94" s="51"/>
      <c r="K94" s="51"/>
      <c r="L94" s="51"/>
      <c r="M94" s="51"/>
      <c r="N94" s="51"/>
      <c r="O94" s="52"/>
    </row>
    <row r="95" spans="1:15" x14ac:dyDescent="0.15">
      <c r="A95" s="43"/>
      <c r="B95" s="55"/>
      <c r="C95" s="34"/>
      <c r="D95" s="34"/>
      <c r="E95" s="34"/>
      <c r="F95" s="34"/>
      <c r="G95" s="51"/>
      <c r="H95" s="51"/>
      <c r="I95" s="51"/>
      <c r="J95" s="51"/>
      <c r="K95" s="51"/>
      <c r="L95" s="51"/>
      <c r="M95" s="51"/>
      <c r="N95" s="51"/>
      <c r="O95" s="52"/>
    </row>
    <row r="96" spans="1:15" x14ac:dyDescent="0.15">
      <c r="A96" s="43"/>
      <c r="B96" s="55"/>
      <c r="C96" s="34"/>
      <c r="D96" s="34"/>
      <c r="E96" s="34"/>
      <c r="F96" s="34"/>
      <c r="G96" s="51"/>
      <c r="H96" s="51"/>
      <c r="I96" s="51"/>
      <c r="J96" s="51"/>
      <c r="K96" s="51"/>
      <c r="L96" s="51"/>
      <c r="M96" s="51"/>
      <c r="N96" s="51"/>
      <c r="O96" s="52"/>
    </row>
    <row r="97" spans="1:15" x14ac:dyDescent="0.15">
      <c r="A97" s="43"/>
      <c r="B97" s="55"/>
      <c r="C97" s="34"/>
      <c r="D97" s="34"/>
      <c r="E97" s="34"/>
      <c r="F97" s="34"/>
      <c r="G97" s="51"/>
      <c r="H97" s="51"/>
      <c r="I97" s="51"/>
      <c r="J97" s="51"/>
      <c r="K97" s="51"/>
      <c r="L97" s="51"/>
      <c r="M97" s="51"/>
      <c r="N97" s="51"/>
      <c r="O97" s="52"/>
    </row>
    <row r="98" spans="1:15" x14ac:dyDescent="0.15">
      <c r="A98" s="43"/>
      <c r="B98" s="55"/>
      <c r="C98" s="34"/>
      <c r="D98" s="34"/>
      <c r="E98" s="34"/>
      <c r="F98" s="34"/>
      <c r="G98" s="51"/>
      <c r="H98" s="51"/>
      <c r="I98" s="51"/>
      <c r="J98" s="51"/>
      <c r="K98" s="51"/>
      <c r="L98" s="51"/>
      <c r="M98" s="51"/>
      <c r="N98" s="51"/>
      <c r="O98" s="52"/>
    </row>
    <row r="99" spans="1:15" x14ac:dyDescent="0.15">
      <c r="A99" s="43"/>
      <c r="B99" s="55"/>
      <c r="C99" s="34"/>
      <c r="D99" s="34"/>
      <c r="E99" s="34"/>
      <c r="F99" s="34"/>
      <c r="G99" s="51"/>
      <c r="H99" s="51"/>
      <c r="I99" s="51"/>
      <c r="J99" s="51"/>
      <c r="K99" s="51"/>
      <c r="L99" s="51"/>
      <c r="M99" s="51"/>
      <c r="N99" s="51"/>
      <c r="O99" s="52"/>
    </row>
    <row r="100" spans="1:15" x14ac:dyDescent="0.15">
      <c r="A100" s="56"/>
      <c r="B100" s="57"/>
      <c r="C100" s="34"/>
      <c r="D100" s="34"/>
      <c r="E100" s="34"/>
      <c r="F100" s="34"/>
      <c r="G100" s="51"/>
      <c r="H100" s="51"/>
      <c r="I100" s="51"/>
      <c r="J100" s="51"/>
      <c r="K100" s="51"/>
      <c r="L100" s="51"/>
      <c r="M100" s="51"/>
      <c r="N100" s="51"/>
      <c r="O100" s="52"/>
    </row>
  </sheetData>
  <phoneticPr fontId="13"/>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00"/>
  <sheetViews>
    <sheetView workbookViewId="0"/>
  </sheetViews>
  <sheetFormatPr defaultRowHeight="13.5" x14ac:dyDescent="0.15"/>
  <cols>
    <col min="1" max="1" width="17.25" customWidth="1"/>
    <col min="2" max="2" width="11.25" customWidth="1"/>
    <col min="3" max="3" width="8.75" customWidth="1"/>
    <col min="4" max="15" width="13" customWidth="1"/>
    <col min="16" max="16" width="3.25" customWidth="1"/>
    <col min="17" max="17" width="8.75" customWidth="1"/>
    <col min="18" max="18" width="13" customWidth="1"/>
    <col min="19" max="19" width="11.75" customWidth="1"/>
    <col min="20" max="20" width="8.75" customWidth="1"/>
    <col min="21" max="22" width="13" customWidth="1"/>
  </cols>
  <sheetData>
    <row r="1" spans="1:21" ht="45" customHeight="1" x14ac:dyDescent="0.15">
      <c r="A1" s="29" t="s">
        <v>488</v>
      </c>
      <c r="Q1" s="30" t="s">
        <v>489</v>
      </c>
    </row>
    <row r="2" spans="1:21" ht="8.4499999999999993" customHeight="1" x14ac:dyDescent="0.25">
      <c r="A2" s="31"/>
    </row>
    <row r="3" spans="1:21" x14ac:dyDescent="0.15">
      <c r="A3" s="32" t="s">
        <v>491</v>
      </c>
      <c r="B3" s="33" t="s">
        <v>492</v>
      </c>
      <c r="C3" s="34" t="s">
        <v>493</v>
      </c>
      <c r="D3" s="34" t="s">
        <v>494</v>
      </c>
      <c r="E3" s="34" t="s">
        <v>495</v>
      </c>
      <c r="F3" s="34" t="s">
        <v>496</v>
      </c>
      <c r="G3" s="34" t="s">
        <v>497</v>
      </c>
      <c r="H3" s="34" t="s">
        <v>498</v>
      </c>
      <c r="I3" s="34"/>
      <c r="J3" s="34"/>
      <c r="K3" s="34"/>
      <c r="L3" s="34"/>
      <c r="M3" s="34"/>
      <c r="N3" s="34"/>
      <c r="O3" s="34"/>
      <c r="U3" s="34" t="s">
        <v>499</v>
      </c>
    </row>
    <row r="4" spans="1:21" x14ac:dyDescent="0.15">
      <c r="A4" s="35"/>
      <c r="B4" s="33" t="s">
        <v>501</v>
      </c>
      <c r="C4" s="34" t="s">
        <v>502</v>
      </c>
      <c r="D4" s="36" t="s">
        <v>503</v>
      </c>
      <c r="E4" s="34" t="s">
        <v>504</v>
      </c>
      <c r="F4" s="34" t="s">
        <v>505</v>
      </c>
      <c r="G4" s="34" t="s">
        <v>506</v>
      </c>
      <c r="H4" s="34" t="s">
        <v>507</v>
      </c>
      <c r="I4" s="34"/>
      <c r="J4" s="34"/>
      <c r="K4" s="34"/>
      <c r="L4" s="34"/>
      <c r="M4" s="34"/>
      <c r="N4" s="34"/>
      <c r="O4" s="34"/>
    </row>
    <row r="5" spans="1:21" ht="8.4499999999999993" customHeight="1" x14ac:dyDescent="0.15"/>
    <row r="6" spans="1:21" x14ac:dyDescent="0.15">
      <c r="A6" s="37" t="s">
        <v>509</v>
      </c>
      <c r="B6" s="38" t="s">
        <v>510</v>
      </c>
      <c r="C6" s="39" t="s">
        <v>511</v>
      </c>
      <c r="D6" s="40"/>
      <c r="E6" s="40"/>
      <c r="F6" s="40"/>
      <c r="G6" s="40"/>
      <c r="H6" s="40"/>
      <c r="I6" s="40"/>
      <c r="J6" s="40"/>
      <c r="K6" s="40"/>
      <c r="L6" s="40"/>
      <c r="M6" s="40"/>
      <c r="N6" s="40"/>
      <c r="O6" s="41"/>
      <c r="Q6" s="42" t="s">
        <v>512</v>
      </c>
    </row>
    <row r="7" spans="1:21" x14ac:dyDescent="0.15">
      <c r="A7" s="43"/>
      <c r="B7" s="44"/>
      <c r="C7" s="45" t="s">
        <v>514</v>
      </c>
      <c r="O7" s="46"/>
      <c r="Q7" s="42" t="s">
        <v>515</v>
      </c>
    </row>
    <row r="8" spans="1:21" x14ac:dyDescent="0.15">
      <c r="A8" s="43"/>
      <c r="B8" s="44"/>
      <c r="C8" s="45"/>
      <c r="O8" s="46"/>
      <c r="Q8" s="42" t="s">
        <v>517</v>
      </c>
    </row>
    <row r="9" spans="1:21" x14ac:dyDescent="0.15">
      <c r="A9" s="43"/>
      <c r="B9" s="44"/>
      <c r="C9" s="45"/>
      <c r="O9" s="46"/>
      <c r="Q9" s="42" t="s">
        <v>519</v>
      </c>
    </row>
    <row r="10" spans="1:21" x14ac:dyDescent="0.15">
      <c r="A10" s="43"/>
      <c r="B10" s="47"/>
      <c r="C10" s="48"/>
      <c r="D10" s="49"/>
      <c r="E10" s="49"/>
      <c r="F10" s="49"/>
      <c r="G10" s="49"/>
      <c r="H10" s="49"/>
      <c r="I10" s="49"/>
      <c r="J10" s="49"/>
      <c r="K10" s="49"/>
      <c r="L10" s="49"/>
      <c r="M10" s="49"/>
      <c r="N10" s="49"/>
      <c r="O10" s="50"/>
      <c r="Q10" s="42" t="s">
        <v>521</v>
      </c>
    </row>
    <row r="11" spans="1:21" x14ac:dyDescent="0.15">
      <c r="A11" s="43"/>
      <c r="B11" s="38" t="s">
        <v>523</v>
      </c>
      <c r="C11" s="33" t="s">
        <v>1</v>
      </c>
      <c r="D11" s="34" t="s">
        <v>1</v>
      </c>
      <c r="E11" s="51"/>
      <c r="F11" s="51"/>
      <c r="G11" s="51"/>
      <c r="H11" s="51"/>
      <c r="I11" s="51"/>
      <c r="J11" s="51"/>
      <c r="K11" s="51"/>
      <c r="L11" s="51"/>
      <c r="M11" s="51"/>
      <c r="N11" s="51"/>
      <c r="O11" s="52"/>
      <c r="Q11" s="42" t="s">
        <v>524</v>
      </c>
    </row>
    <row r="12" spans="1:21" x14ac:dyDescent="0.15">
      <c r="A12" s="43"/>
      <c r="B12" s="44"/>
      <c r="C12" s="33" t="s">
        <v>2</v>
      </c>
      <c r="D12" s="34" t="s">
        <v>2</v>
      </c>
      <c r="E12" s="51"/>
      <c r="F12" s="51"/>
      <c r="G12" s="51"/>
      <c r="H12" s="51"/>
      <c r="I12" s="51"/>
      <c r="J12" s="51"/>
      <c r="K12" s="51"/>
      <c r="L12" s="51"/>
      <c r="M12" s="51"/>
      <c r="N12" s="51"/>
      <c r="O12" s="52"/>
      <c r="Q12" s="42" t="s">
        <v>526</v>
      </c>
    </row>
    <row r="13" spans="1:21" x14ac:dyDescent="0.15">
      <c r="A13" s="43"/>
      <c r="B13" s="44"/>
      <c r="C13" s="33" t="s">
        <v>3</v>
      </c>
      <c r="D13" s="34" t="s">
        <v>3</v>
      </c>
      <c r="E13" s="51"/>
      <c r="F13" s="51"/>
      <c r="G13" s="51"/>
      <c r="H13" s="51"/>
      <c r="I13" s="51"/>
      <c r="J13" s="51"/>
      <c r="K13" s="51"/>
      <c r="L13" s="51"/>
      <c r="M13" s="51"/>
      <c r="N13" s="51"/>
      <c r="O13" s="52"/>
      <c r="Q13" s="42" t="s">
        <v>528</v>
      </c>
    </row>
    <row r="14" spans="1:21" x14ac:dyDescent="0.15">
      <c r="A14" s="43"/>
      <c r="B14" s="44"/>
      <c r="C14" s="33" t="s">
        <v>530</v>
      </c>
      <c r="D14" s="34" t="s">
        <v>531</v>
      </c>
      <c r="E14" s="51"/>
      <c r="F14" s="51"/>
      <c r="G14" s="51"/>
      <c r="H14" s="51"/>
      <c r="I14" s="51"/>
      <c r="J14" s="51"/>
      <c r="K14" s="51"/>
      <c r="L14" s="51"/>
      <c r="M14" s="51"/>
      <c r="N14" s="51"/>
      <c r="O14" s="52"/>
      <c r="Q14" s="42" t="s">
        <v>532</v>
      </c>
    </row>
    <row r="15" spans="1:21" x14ac:dyDescent="0.15">
      <c r="A15" s="43"/>
      <c r="B15" s="47"/>
      <c r="C15" s="33" t="s">
        <v>534</v>
      </c>
      <c r="D15" s="53" t="b">
        <v>0</v>
      </c>
      <c r="E15" s="51"/>
      <c r="F15" s="51"/>
      <c r="G15" s="51"/>
      <c r="H15" s="51"/>
      <c r="I15" s="51"/>
      <c r="J15" s="51"/>
      <c r="K15" s="51"/>
      <c r="L15" s="51"/>
      <c r="M15" s="51"/>
      <c r="N15" s="51"/>
      <c r="O15" s="52"/>
      <c r="Q15" s="42" t="s">
        <v>535</v>
      </c>
    </row>
    <row r="16" spans="1:21" x14ac:dyDescent="0.15">
      <c r="A16" s="43"/>
      <c r="B16" s="54" t="s">
        <v>537</v>
      </c>
      <c r="C16" s="33" t="s">
        <v>538</v>
      </c>
      <c r="D16" s="33" t="s">
        <v>539</v>
      </c>
      <c r="E16" s="33" t="s">
        <v>540</v>
      </c>
      <c r="F16" s="33" t="s">
        <v>501</v>
      </c>
      <c r="G16" s="51"/>
      <c r="H16" s="51"/>
      <c r="I16" s="51"/>
      <c r="J16" s="51"/>
      <c r="K16" s="51"/>
      <c r="L16" s="51"/>
      <c r="M16" s="51"/>
      <c r="N16" s="51"/>
      <c r="O16" s="52"/>
      <c r="Q16" s="42" t="s">
        <v>541</v>
      </c>
    </row>
    <row r="17" spans="1:17" x14ac:dyDescent="0.15">
      <c r="A17" s="43"/>
      <c r="B17" s="55"/>
      <c r="C17" s="34" t="s">
        <v>543</v>
      </c>
      <c r="D17" s="34" t="s">
        <v>544</v>
      </c>
      <c r="E17" s="34" t="s">
        <v>545</v>
      </c>
      <c r="F17" s="34" t="s">
        <v>546</v>
      </c>
      <c r="G17" s="51"/>
      <c r="H17" s="51"/>
      <c r="I17" s="51"/>
      <c r="J17" s="51"/>
      <c r="K17" s="51"/>
      <c r="L17" s="51"/>
      <c r="M17" s="51"/>
      <c r="N17" s="51"/>
      <c r="O17" s="52"/>
      <c r="Q17" s="42" t="s">
        <v>547</v>
      </c>
    </row>
    <row r="18" spans="1:17" x14ac:dyDescent="0.15">
      <c r="A18" s="43"/>
      <c r="B18" s="55"/>
      <c r="C18" s="34" t="s">
        <v>549</v>
      </c>
      <c r="D18" s="34" t="s">
        <v>544</v>
      </c>
      <c r="E18" s="34" t="s">
        <v>550</v>
      </c>
      <c r="F18" s="34" t="s">
        <v>546</v>
      </c>
      <c r="G18" s="51"/>
      <c r="H18" s="51"/>
      <c r="I18" s="51"/>
      <c r="J18" s="51"/>
      <c r="K18" s="51"/>
      <c r="L18" s="51"/>
      <c r="M18" s="51"/>
      <c r="N18" s="51"/>
      <c r="O18" s="52"/>
      <c r="Q18" s="42" t="s">
        <v>551</v>
      </c>
    </row>
    <row r="19" spans="1:17" x14ac:dyDescent="0.15">
      <c r="A19" s="43"/>
      <c r="B19" s="55"/>
      <c r="C19" s="34" t="s">
        <v>553</v>
      </c>
      <c r="D19" s="34" t="s">
        <v>544</v>
      </c>
      <c r="E19" s="34" t="s">
        <v>554</v>
      </c>
      <c r="F19" s="34" t="s">
        <v>546</v>
      </c>
      <c r="G19" s="51"/>
      <c r="H19" s="51"/>
      <c r="I19" s="51"/>
      <c r="J19" s="51"/>
      <c r="K19" s="51"/>
      <c r="L19" s="51"/>
      <c r="M19" s="51"/>
      <c r="N19" s="51"/>
      <c r="O19" s="52"/>
      <c r="Q19" s="42" t="s">
        <v>555</v>
      </c>
    </row>
    <row r="20" spans="1:17" x14ac:dyDescent="0.15">
      <c r="A20" s="43"/>
      <c r="B20" s="55"/>
      <c r="C20" s="34" t="s">
        <v>557</v>
      </c>
      <c r="D20" s="34" t="s">
        <v>544</v>
      </c>
      <c r="E20" s="34" t="s">
        <v>558</v>
      </c>
      <c r="F20" s="34" t="s">
        <v>559</v>
      </c>
      <c r="G20" s="51"/>
      <c r="H20" s="51"/>
      <c r="I20" s="51"/>
      <c r="J20" s="51"/>
      <c r="K20" s="51"/>
      <c r="L20" s="51"/>
      <c r="M20" s="51"/>
      <c r="N20" s="51"/>
      <c r="O20" s="52"/>
      <c r="Q20" s="42" t="s">
        <v>560</v>
      </c>
    </row>
    <row r="21" spans="1:17" x14ac:dyDescent="0.15">
      <c r="A21" s="43"/>
      <c r="B21" s="55"/>
      <c r="C21" s="34"/>
      <c r="D21" s="34"/>
      <c r="E21" s="34"/>
      <c r="F21" s="34"/>
      <c r="G21" s="51"/>
      <c r="H21" s="51"/>
      <c r="I21" s="51"/>
      <c r="J21" s="51"/>
      <c r="K21" s="51"/>
      <c r="L21" s="51"/>
      <c r="M21" s="51"/>
      <c r="N21" s="51"/>
      <c r="O21" s="52"/>
      <c r="Q21" s="42" t="s">
        <v>562</v>
      </c>
    </row>
    <row r="22" spans="1:17" x14ac:dyDescent="0.15">
      <c r="A22" s="43"/>
      <c r="B22" s="55"/>
      <c r="C22" s="34"/>
      <c r="D22" s="34"/>
      <c r="E22" s="34"/>
      <c r="F22" s="34"/>
      <c r="G22" s="51"/>
      <c r="H22" s="51"/>
      <c r="I22" s="51"/>
      <c r="J22" s="51"/>
      <c r="K22" s="51"/>
      <c r="L22" s="51"/>
      <c r="M22" s="51"/>
      <c r="N22" s="51"/>
      <c r="O22" s="52"/>
      <c r="Q22" s="42" t="s">
        <v>564</v>
      </c>
    </row>
    <row r="23" spans="1:17" x14ac:dyDescent="0.15">
      <c r="A23" s="43"/>
      <c r="B23" s="55"/>
      <c r="C23" s="34"/>
      <c r="D23" s="34"/>
      <c r="E23" s="34"/>
      <c r="F23" s="34"/>
      <c r="G23" s="51"/>
      <c r="H23" s="51"/>
      <c r="I23" s="51"/>
      <c r="J23" s="51"/>
      <c r="K23" s="51"/>
      <c r="L23" s="51"/>
      <c r="M23" s="51"/>
      <c r="N23" s="51"/>
      <c r="O23" s="52"/>
      <c r="Q23" s="42" t="s">
        <v>566</v>
      </c>
    </row>
    <row r="24" spans="1:17" x14ac:dyDescent="0.15">
      <c r="A24" s="43"/>
      <c r="B24" s="55"/>
      <c r="C24" s="34"/>
      <c r="D24" s="34"/>
      <c r="E24" s="34"/>
      <c r="F24" s="34"/>
      <c r="G24" s="51"/>
      <c r="H24" s="51"/>
      <c r="I24" s="51"/>
      <c r="J24" s="51"/>
      <c r="K24" s="51"/>
      <c r="L24" s="51"/>
      <c r="M24" s="51"/>
      <c r="N24" s="51"/>
      <c r="O24" s="52"/>
    </row>
    <row r="25" spans="1:17" x14ac:dyDescent="0.15">
      <c r="A25" s="43"/>
      <c r="B25" s="55"/>
      <c r="C25" s="34"/>
      <c r="D25" s="34"/>
      <c r="E25" s="34"/>
      <c r="F25" s="34"/>
      <c r="G25" s="51"/>
      <c r="H25" s="51"/>
      <c r="I25" s="51"/>
      <c r="J25" s="51"/>
      <c r="K25" s="51"/>
      <c r="L25" s="51"/>
      <c r="M25" s="51"/>
      <c r="N25" s="51"/>
      <c r="O25" s="52"/>
      <c r="Q25" s="42" t="s">
        <v>568</v>
      </c>
    </row>
    <row r="26" spans="1:17" x14ac:dyDescent="0.15">
      <c r="A26" s="43"/>
      <c r="B26" s="55"/>
      <c r="C26" s="34"/>
      <c r="D26" s="34"/>
      <c r="E26" s="34"/>
      <c r="F26" s="34"/>
      <c r="G26" s="51"/>
      <c r="H26" s="51"/>
      <c r="I26" s="51"/>
      <c r="J26" s="51"/>
      <c r="K26" s="51"/>
      <c r="L26" s="51"/>
      <c r="M26" s="51"/>
      <c r="N26" s="51"/>
      <c r="O26" s="52"/>
    </row>
    <row r="27" spans="1:17" x14ac:dyDescent="0.15">
      <c r="A27" s="43"/>
      <c r="B27" s="55"/>
      <c r="C27" s="34"/>
      <c r="D27" s="34"/>
      <c r="E27" s="34"/>
      <c r="F27" s="34"/>
      <c r="G27" s="51"/>
      <c r="H27" s="51"/>
      <c r="I27" s="51"/>
      <c r="J27" s="51"/>
      <c r="K27" s="51"/>
      <c r="L27" s="51"/>
      <c r="M27" s="51"/>
      <c r="N27" s="51"/>
      <c r="O27" s="52"/>
    </row>
    <row r="28" spans="1:17" x14ac:dyDescent="0.15">
      <c r="A28" s="43"/>
      <c r="B28" s="55"/>
      <c r="C28" s="34"/>
      <c r="D28" s="34"/>
      <c r="E28" s="34"/>
      <c r="F28" s="34"/>
      <c r="G28" s="51"/>
      <c r="H28" s="51"/>
      <c r="I28" s="51"/>
      <c r="J28" s="51"/>
      <c r="K28" s="51"/>
      <c r="L28" s="51"/>
      <c r="M28" s="51"/>
      <c r="N28" s="51"/>
      <c r="O28" s="52"/>
      <c r="Q28" s="42" t="s">
        <v>570</v>
      </c>
    </row>
    <row r="29" spans="1:17" x14ac:dyDescent="0.15">
      <c r="A29" s="43"/>
      <c r="B29" s="55"/>
      <c r="C29" s="34"/>
      <c r="D29" s="34"/>
      <c r="E29" s="34"/>
      <c r="F29" s="34"/>
      <c r="G29" s="51"/>
      <c r="H29" s="51"/>
      <c r="I29" s="51"/>
      <c r="J29" s="51"/>
      <c r="K29" s="51"/>
      <c r="L29" s="51"/>
      <c r="M29" s="51"/>
      <c r="N29" s="51"/>
      <c r="O29" s="52"/>
      <c r="Q29" s="42" t="s">
        <v>572</v>
      </c>
    </row>
    <row r="30" spans="1:17" x14ac:dyDescent="0.15">
      <c r="A30" s="43"/>
      <c r="B30" s="55"/>
      <c r="C30" s="34"/>
      <c r="D30" s="34"/>
      <c r="E30" s="34"/>
      <c r="F30" s="34"/>
      <c r="G30" s="51"/>
      <c r="H30" s="51"/>
      <c r="I30" s="51"/>
      <c r="J30" s="51"/>
      <c r="K30" s="51"/>
      <c r="L30" s="51"/>
      <c r="M30" s="51"/>
      <c r="N30" s="51"/>
      <c r="O30" s="52"/>
      <c r="Q30" s="42" t="s">
        <v>574</v>
      </c>
    </row>
    <row r="31" spans="1:17" x14ac:dyDescent="0.15">
      <c r="A31" s="43"/>
      <c r="B31" s="55"/>
      <c r="C31" s="34"/>
      <c r="D31" s="34"/>
      <c r="E31" s="34"/>
      <c r="F31" s="34"/>
      <c r="G31" s="51"/>
      <c r="H31" s="51"/>
      <c r="I31" s="51"/>
      <c r="J31" s="51"/>
      <c r="K31" s="51"/>
      <c r="L31" s="51"/>
      <c r="M31" s="51"/>
      <c r="N31" s="51"/>
      <c r="O31" s="52"/>
      <c r="Q31" s="42" t="s">
        <v>576</v>
      </c>
    </row>
    <row r="32" spans="1:17" x14ac:dyDescent="0.15">
      <c r="A32" s="43"/>
      <c r="B32" s="55"/>
      <c r="C32" s="34"/>
      <c r="D32" s="34"/>
      <c r="E32" s="34"/>
      <c r="F32" s="34"/>
      <c r="G32" s="51"/>
      <c r="H32" s="51"/>
      <c r="I32" s="51"/>
      <c r="J32" s="51"/>
      <c r="K32" s="51"/>
      <c r="L32" s="51"/>
      <c r="M32" s="51"/>
      <c r="N32" s="51"/>
      <c r="O32" s="52"/>
    </row>
    <row r="33" spans="1:15" x14ac:dyDescent="0.15">
      <c r="A33" s="43"/>
      <c r="B33" s="55"/>
      <c r="C33" s="34"/>
      <c r="D33" s="34"/>
      <c r="E33" s="34"/>
      <c r="F33" s="34"/>
      <c r="G33" s="51"/>
      <c r="H33" s="51"/>
      <c r="I33" s="51"/>
      <c r="J33" s="51"/>
      <c r="K33" s="51"/>
      <c r="L33" s="51"/>
      <c r="M33" s="51"/>
      <c r="N33" s="51"/>
      <c r="O33" s="52"/>
    </row>
    <row r="34" spans="1:15" x14ac:dyDescent="0.15">
      <c r="A34" s="43"/>
      <c r="B34" s="55"/>
      <c r="C34" s="34"/>
      <c r="D34" s="34"/>
      <c r="E34" s="34"/>
      <c r="F34" s="34"/>
      <c r="G34" s="51"/>
      <c r="H34" s="51"/>
      <c r="I34" s="51"/>
      <c r="J34" s="51"/>
      <c r="K34" s="51"/>
      <c r="L34" s="51"/>
      <c r="M34" s="51"/>
      <c r="N34" s="51"/>
      <c r="O34" s="52"/>
    </row>
    <row r="35" spans="1:15" x14ac:dyDescent="0.15">
      <c r="A35" s="43"/>
      <c r="B35" s="55"/>
      <c r="C35" s="34"/>
      <c r="D35" s="34"/>
      <c r="E35" s="34"/>
      <c r="F35" s="34"/>
      <c r="G35" s="51"/>
      <c r="H35" s="51"/>
      <c r="I35" s="51"/>
      <c r="J35" s="51"/>
      <c r="K35" s="51"/>
      <c r="L35" s="51"/>
      <c r="M35" s="51"/>
      <c r="N35" s="51"/>
      <c r="O35" s="52"/>
    </row>
    <row r="36" spans="1:15" x14ac:dyDescent="0.15">
      <c r="A36" s="43"/>
      <c r="B36" s="55"/>
      <c r="C36" s="34"/>
      <c r="D36" s="34"/>
      <c r="E36" s="34"/>
      <c r="F36" s="34"/>
      <c r="G36" s="51"/>
      <c r="H36" s="51"/>
      <c r="I36" s="51"/>
      <c r="J36" s="51"/>
      <c r="K36" s="51"/>
      <c r="L36" s="51"/>
      <c r="M36" s="51"/>
      <c r="N36" s="51"/>
      <c r="O36" s="52"/>
    </row>
    <row r="37" spans="1:15" x14ac:dyDescent="0.15">
      <c r="A37" s="43"/>
      <c r="B37" s="55"/>
      <c r="C37" s="34"/>
      <c r="D37" s="34"/>
      <c r="E37" s="34"/>
      <c r="F37" s="34"/>
      <c r="G37" s="51"/>
      <c r="H37" s="51"/>
      <c r="I37" s="51"/>
      <c r="J37" s="51"/>
      <c r="K37" s="51"/>
      <c r="L37" s="51"/>
      <c r="M37" s="51"/>
      <c r="N37" s="51"/>
      <c r="O37" s="52"/>
    </row>
    <row r="38" spans="1:15" x14ac:dyDescent="0.15">
      <c r="A38" s="43"/>
      <c r="B38" s="55"/>
      <c r="C38" s="34"/>
      <c r="D38" s="34"/>
      <c r="E38" s="34"/>
      <c r="F38" s="34"/>
      <c r="G38" s="51"/>
      <c r="H38" s="51"/>
      <c r="I38" s="51"/>
      <c r="J38" s="51"/>
      <c r="K38" s="51"/>
      <c r="L38" s="51"/>
      <c r="M38" s="51"/>
      <c r="N38" s="51"/>
      <c r="O38" s="52"/>
    </row>
    <row r="39" spans="1:15" x14ac:dyDescent="0.15">
      <c r="A39" s="43"/>
      <c r="B39" s="55"/>
      <c r="C39" s="34"/>
      <c r="D39" s="34"/>
      <c r="E39" s="34"/>
      <c r="F39" s="34"/>
      <c r="G39" s="51"/>
      <c r="H39" s="51"/>
      <c r="I39" s="51"/>
      <c r="J39" s="51"/>
      <c r="K39" s="51"/>
      <c r="L39" s="51"/>
      <c r="M39" s="51"/>
      <c r="N39" s="51"/>
      <c r="O39" s="52"/>
    </row>
    <row r="40" spans="1:15" x14ac:dyDescent="0.15">
      <c r="A40" s="43"/>
      <c r="B40" s="55"/>
      <c r="C40" s="34"/>
      <c r="D40" s="34"/>
      <c r="E40" s="34"/>
      <c r="F40" s="34"/>
      <c r="G40" s="51"/>
      <c r="H40" s="51"/>
      <c r="I40" s="51"/>
      <c r="J40" s="51"/>
      <c r="K40" s="51"/>
      <c r="L40" s="51"/>
      <c r="M40" s="51"/>
      <c r="N40" s="51"/>
      <c r="O40" s="52"/>
    </row>
    <row r="41" spans="1:15" x14ac:dyDescent="0.15">
      <c r="A41" s="43"/>
      <c r="B41" s="55"/>
      <c r="C41" s="34"/>
      <c r="D41" s="34"/>
      <c r="E41" s="34"/>
      <c r="F41" s="34"/>
      <c r="G41" s="51"/>
      <c r="H41" s="51"/>
      <c r="I41" s="51"/>
      <c r="J41" s="51"/>
      <c r="K41" s="51"/>
      <c r="L41" s="51"/>
      <c r="M41" s="51"/>
      <c r="N41" s="51"/>
      <c r="O41" s="52"/>
    </row>
    <row r="42" spans="1:15" x14ac:dyDescent="0.15">
      <c r="A42" s="43"/>
      <c r="B42" s="55"/>
      <c r="C42" s="34"/>
      <c r="D42" s="34"/>
      <c r="E42" s="34"/>
      <c r="F42" s="34"/>
      <c r="G42" s="51"/>
      <c r="H42" s="51"/>
      <c r="I42" s="51"/>
      <c r="J42" s="51"/>
      <c r="K42" s="51"/>
      <c r="L42" s="51"/>
      <c r="M42" s="51"/>
      <c r="N42" s="51"/>
      <c r="O42" s="52"/>
    </row>
    <row r="43" spans="1:15" x14ac:dyDescent="0.15">
      <c r="A43" s="43"/>
      <c r="B43" s="55"/>
      <c r="C43" s="34"/>
      <c r="D43" s="34"/>
      <c r="E43" s="34"/>
      <c r="F43" s="34"/>
      <c r="G43" s="51"/>
      <c r="H43" s="51"/>
      <c r="I43" s="51"/>
      <c r="J43" s="51"/>
      <c r="K43" s="51"/>
      <c r="L43" s="51"/>
      <c r="M43" s="51"/>
      <c r="N43" s="51"/>
      <c r="O43" s="52"/>
    </row>
    <row r="44" spans="1:15" x14ac:dyDescent="0.15">
      <c r="A44" s="43"/>
      <c r="B44" s="55"/>
      <c r="C44" s="34"/>
      <c r="D44" s="34"/>
      <c r="E44" s="34"/>
      <c r="F44" s="34"/>
      <c r="G44" s="51"/>
      <c r="H44" s="51"/>
      <c r="I44" s="51"/>
      <c r="J44" s="51"/>
      <c r="K44" s="51"/>
      <c r="L44" s="51"/>
      <c r="M44" s="51"/>
      <c r="N44" s="51"/>
      <c r="O44" s="52"/>
    </row>
    <row r="45" spans="1:15" x14ac:dyDescent="0.15">
      <c r="A45" s="43"/>
      <c r="B45" s="55"/>
      <c r="C45" s="34"/>
      <c r="D45" s="34"/>
      <c r="E45" s="34"/>
      <c r="F45" s="34"/>
      <c r="G45" s="51"/>
      <c r="H45" s="51"/>
      <c r="I45" s="51"/>
      <c r="J45" s="51"/>
      <c r="K45" s="51"/>
      <c r="L45" s="51"/>
      <c r="M45" s="51"/>
      <c r="N45" s="51"/>
      <c r="O45" s="52"/>
    </row>
    <row r="46" spans="1:15" x14ac:dyDescent="0.15">
      <c r="A46" s="43"/>
      <c r="B46" s="55"/>
      <c r="C46" s="34"/>
      <c r="D46" s="34"/>
      <c r="E46" s="34"/>
      <c r="F46" s="34"/>
      <c r="G46" s="51"/>
      <c r="H46" s="51"/>
      <c r="I46" s="51"/>
      <c r="J46" s="51"/>
      <c r="K46" s="51"/>
      <c r="L46" s="51"/>
      <c r="M46" s="51"/>
      <c r="N46" s="51"/>
      <c r="O46" s="52"/>
    </row>
    <row r="47" spans="1:15" x14ac:dyDescent="0.15">
      <c r="A47" s="43"/>
      <c r="B47" s="55"/>
      <c r="C47" s="34"/>
      <c r="D47" s="34"/>
      <c r="E47" s="34"/>
      <c r="F47" s="34"/>
      <c r="G47" s="51"/>
      <c r="H47" s="51"/>
      <c r="I47" s="51"/>
      <c r="J47" s="51"/>
      <c r="K47" s="51"/>
      <c r="L47" s="51"/>
      <c r="M47" s="51"/>
      <c r="N47" s="51"/>
      <c r="O47" s="52"/>
    </row>
    <row r="48" spans="1:15" x14ac:dyDescent="0.15">
      <c r="A48" s="43"/>
      <c r="B48" s="55"/>
      <c r="C48" s="34"/>
      <c r="D48" s="34"/>
      <c r="E48" s="34"/>
      <c r="F48" s="34"/>
      <c r="G48" s="51"/>
      <c r="H48" s="51"/>
      <c r="I48" s="51"/>
      <c r="J48" s="51"/>
      <c r="K48" s="51"/>
      <c r="L48" s="51"/>
      <c r="M48" s="51"/>
      <c r="N48" s="51"/>
      <c r="O48" s="52"/>
    </row>
    <row r="49" spans="1:15" x14ac:dyDescent="0.15">
      <c r="A49" s="43"/>
      <c r="B49" s="55"/>
      <c r="C49" s="34"/>
      <c r="D49" s="34"/>
      <c r="E49" s="34"/>
      <c r="F49" s="34"/>
      <c r="G49" s="51"/>
      <c r="H49" s="51"/>
      <c r="I49" s="51"/>
      <c r="J49" s="51"/>
      <c r="K49" s="51"/>
      <c r="L49" s="51"/>
      <c r="M49" s="51"/>
      <c r="N49" s="51"/>
      <c r="O49" s="52"/>
    </row>
    <row r="50" spans="1:15" x14ac:dyDescent="0.15">
      <c r="A50" s="43"/>
      <c r="B50" s="55"/>
      <c r="C50" s="34"/>
      <c r="D50" s="34"/>
      <c r="E50" s="34"/>
      <c r="F50" s="34"/>
      <c r="G50" s="51"/>
      <c r="H50" s="51"/>
      <c r="I50" s="51"/>
      <c r="J50" s="51"/>
      <c r="K50" s="51"/>
      <c r="L50" s="51"/>
      <c r="M50" s="51"/>
      <c r="N50" s="51"/>
      <c r="O50" s="52"/>
    </row>
    <row r="51" spans="1:15" x14ac:dyDescent="0.15">
      <c r="A51" s="43"/>
      <c r="B51" s="55"/>
      <c r="C51" s="34"/>
      <c r="D51" s="34"/>
      <c r="E51" s="34"/>
      <c r="F51" s="34"/>
      <c r="G51" s="51"/>
      <c r="H51" s="51"/>
      <c r="I51" s="51"/>
      <c r="J51" s="51"/>
      <c r="K51" s="51"/>
      <c r="L51" s="51"/>
      <c r="M51" s="51"/>
      <c r="N51" s="51"/>
      <c r="O51" s="52"/>
    </row>
    <row r="52" spans="1:15" x14ac:dyDescent="0.15">
      <c r="A52" s="43"/>
      <c r="B52" s="55"/>
      <c r="C52" s="34"/>
      <c r="D52" s="34"/>
      <c r="E52" s="34"/>
      <c r="F52" s="34"/>
      <c r="G52" s="51"/>
      <c r="H52" s="51"/>
      <c r="I52" s="51"/>
      <c r="J52" s="51"/>
      <c r="K52" s="51"/>
      <c r="L52" s="51"/>
      <c r="M52" s="51"/>
      <c r="N52" s="51"/>
      <c r="O52" s="52"/>
    </row>
    <row r="53" spans="1:15" x14ac:dyDescent="0.15">
      <c r="A53" s="43"/>
      <c r="B53" s="55"/>
      <c r="C53" s="34"/>
      <c r="D53" s="34"/>
      <c r="E53" s="34"/>
      <c r="F53" s="34"/>
      <c r="G53" s="51"/>
      <c r="H53" s="51"/>
      <c r="I53" s="51"/>
      <c r="J53" s="51"/>
      <c r="K53" s="51"/>
      <c r="L53" s="51"/>
      <c r="M53" s="51"/>
      <c r="N53" s="51"/>
      <c r="O53" s="52"/>
    </row>
    <row r="54" spans="1:15" x14ac:dyDescent="0.15">
      <c r="A54" s="43"/>
      <c r="B54" s="55"/>
      <c r="C54" s="34"/>
      <c r="D54" s="34"/>
      <c r="E54" s="34"/>
      <c r="F54" s="34"/>
      <c r="G54" s="51"/>
      <c r="H54" s="51"/>
      <c r="I54" s="51"/>
      <c r="J54" s="51"/>
      <c r="K54" s="51"/>
      <c r="L54" s="51"/>
      <c r="M54" s="51"/>
      <c r="N54" s="51"/>
      <c r="O54" s="52"/>
    </row>
    <row r="55" spans="1:15" x14ac:dyDescent="0.15">
      <c r="A55" s="43"/>
      <c r="B55" s="55"/>
      <c r="C55" s="34"/>
      <c r="D55" s="34"/>
      <c r="E55" s="34"/>
      <c r="F55" s="34"/>
      <c r="G55" s="51"/>
      <c r="H55" s="51"/>
      <c r="I55" s="51"/>
      <c r="J55" s="51"/>
      <c r="K55" s="51"/>
      <c r="L55" s="51"/>
      <c r="M55" s="51"/>
      <c r="N55" s="51"/>
      <c r="O55" s="52"/>
    </row>
    <row r="56" spans="1:15" x14ac:dyDescent="0.15">
      <c r="A56" s="43"/>
      <c r="B56" s="55"/>
      <c r="C56" s="34"/>
      <c r="D56" s="34"/>
      <c r="E56" s="34"/>
      <c r="F56" s="34"/>
      <c r="G56" s="51"/>
      <c r="H56" s="51"/>
      <c r="I56" s="51"/>
      <c r="J56" s="51"/>
      <c r="K56" s="51"/>
      <c r="L56" s="51"/>
      <c r="M56" s="51"/>
      <c r="N56" s="51"/>
      <c r="O56" s="52"/>
    </row>
    <row r="57" spans="1:15" x14ac:dyDescent="0.15">
      <c r="A57" s="43"/>
      <c r="B57" s="55"/>
      <c r="C57" s="34"/>
      <c r="D57" s="34"/>
      <c r="E57" s="34"/>
      <c r="F57" s="34"/>
      <c r="G57" s="51"/>
      <c r="H57" s="51"/>
      <c r="I57" s="51"/>
      <c r="J57" s="51"/>
      <c r="K57" s="51"/>
      <c r="L57" s="51"/>
      <c r="M57" s="51"/>
      <c r="N57" s="51"/>
      <c r="O57" s="52"/>
    </row>
    <row r="58" spans="1:15" x14ac:dyDescent="0.15">
      <c r="A58" s="43"/>
      <c r="B58" s="55"/>
      <c r="C58" s="34"/>
      <c r="D58" s="34"/>
      <c r="E58" s="34"/>
      <c r="F58" s="34"/>
      <c r="G58" s="51"/>
      <c r="H58" s="51"/>
      <c r="I58" s="51"/>
      <c r="J58" s="51"/>
      <c r="K58" s="51"/>
      <c r="L58" s="51"/>
      <c r="M58" s="51"/>
      <c r="N58" s="51"/>
      <c r="O58" s="52"/>
    </row>
    <row r="59" spans="1:15" x14ac:dyDescent="0.15">
      <c r="A59" s="43"/>
      <c r="B59" s="55"/>
      <c r="C59" s="34"/>
      <c r="D59" s="34"/>
      <c r="E59" s="34"/>
      <c r="F59" s="34"/>
      <c r="G59" s="51"/>
      <c r="H59" s="51"/>
      <c r="I59" s="51"/>
      <c r="J59" s="51"/>
      <c r="K59" s="51"/>
      <c r="L59" s="51"/>
      <c r="M59" s="51"/>
      <c r="N59" s="51"/>
      <c r="O59" s="52"/>
    </row>
    <row r="60" spans="1:15" x14ac:dyDescent="0.15">
      <c r="A60" s="43"/>
      <c r="B60" s="55"/>
      <c r="C60" s="34"/>
      <c r="D60" s="34"/>
      <c r="E60" s="34"/>
      <c r="F60" s="34"/>
      <c r="G60" s="51"/>
      <c r="H60" s="51"/>
      <c r="I60" s="51"/>
      <c r="J60" s="51"/>
      <c r="K60" s="51"/>
      <c r="L60" s="51"/>
      <c r="M60" s="51"/>
      <c r="N60" s="51"/>
      <c r="O60" s="52"/>
    </row>
    <row r="61" spans="1:15" x14ac:dyDescent="0.15">
      <c r="A61" s="43"/>
      <c r="B61" s="55"/>
      <c r="C61" s="34"/>
      <c r="D61" s="34"/>
      <c r="E61" s="34"/>
      <c r="F61" s="34"/>
      <c r="G61" s="51"/>
      <c r="H61" s="51"/>
      <c r="I61" s="51"/>
      <c r="J61" s="51"/>
      <c r="K61" s="51"/>
      <c r="L61" s="51"/>
      <c r="M61" s="51"/>
      <c r="N61" s="51"/>
      <c r="O61" s="52"/>
    </row>
    <row r="62" spans="1:15" x14ac:dyDescent="0.15">
      <c r="A62" s="43"/>
      <c r="B62" s="55"/>
      <c r="C62" s="34"/>
      <c r="D62" s="34"/>
      <c r="E62" s="34"/>
      <c r="F62" s="34"/>
      <c r="G62" s="51"/>
      <c r="H62" s="51"/>
      <c r="I62" s="51"/>
      <c r="J62" s="51"/>
      <c r="K62" s="51"/>
      <c r="L62" s="51"/>
      <c r="M62" s="51"/>
      <c r="N62" s="51"/>
      <c r="O62" s="52"/>
    </row>
    <row r="63" spans="1:15" x14ac:dyDescent="0.15">
      <c r="A63" s="43"/>
      <c r="B63" s="55"/>
      <c r="C63" s="34"/>
      <c r="D63" s="34"/>
      <c r="E63" s="34"/>
      <c r="F63" s="34"/>
      <c r="G63" s="51"/>
      <c r="H63" s="51"/>
      <c r="I63" s="51"/>
      <c r="J63" s="51"/>
      <c r="K63" s="51"/>
      <c r="L63" s="51"/>
      <c r="M63" s="51"/>
      <c r="N63" s="51"/>
      <c r="O63" s="52"/>
    </row>
    <row r="64" spans="1:15" x14ac:dyDescent="0.15">
      <c r="A64" s="43"/>
      <c r="B64" s="55"/>
      <c r="C64" s="34"/>
      <c r="D64" s="34"/>
      <c r="E64" s="34"/>
      <c r="F64" s="34"/>
      <c r="G64" s="51"/>
      <c r="H64" s="51"/>
      <c r="I64" s="51"/>
      <c r="J64" s="51"/>
      <c r="K64" s="51"/>
      <c r="L64" s="51"/>
      <c r="M64" s="51"/>
      <c r="N64" s="51"/>
      <c r="O64" s="52"/>
    </row>
    <row r="65" spans="1:15" x14ac:dyDescent="0.15">
      <c r="A65" s="43"/>
      <c r="B65" s="55"/>
      <c r="C65" s="34"/>
      <c r="D65" s="34"/>
      <c r="E65" s="34"/>
      <c r="F65" s="34"/>
      <c r="G65" s="51"/>
      <c r="H65" s="51"/>
      <c r="I65" s="51"/>
      <c r="J65" s="51"/>
      <c r="K65" s="51"/>
      <c r="L65" s="51"/>
      <c r="M65" s="51"/>
      <c r="N65" s="51"/>
      <c r="O65" s="52"/>
    </row>
    <row r="66" spans="1:15" x14ac:dyDescent="0.15">
      <c r="A66" s="43"/>
      <c r="B66" s="55"/>
      <c r="C66" s="34"/>
      <c r="D66" s="34"/>
      <c r="E66" s="34"/>
      <c r="F66" s="34"/>
      <c r="G66" s="51"/>
      <c r="H66" s="51"/>
      <c r="I66" s="51"/>
      <c r="J66" s="51"/>
      <c r="K66" s="51"/>
      <c r="L66" s="51"/>
      <c r="M66" s="51"/>
      <c r="N66" s="51"/>
      <c r="O66" s="52"/>
    </row>
    <row r="67" spans="1:15" x14ac:dyDescent="0.15">
      <c r="A67" s="43"/>
      <c r="B67" s="55"/>
      <c r="C67" s="34"/>
      <c r="D67" s="34"/>
      <c r="E67" s="34"/>
      <c r="F67" s="34"/>
      <c r="G67" s="51"/>
      <c r="H67" s="51"/>
      <c r="I67" s="51"/>
      <c r="J67" s="51"/>
      <c r="K67" s="51"/>
      <c r="L67" s="51"/>
      <c r="M67" s="51"/>
      <c r="N67" s="51"/>
      <c r="O67" s="52"/>
    </row>
    <row r="68" spans="1:15" x14ac:dyDescent="0.15">
      <c r="A68" s="43"/>
      <c r="B68" s="55"/>
      <c r="C68" s="34"/>
      <c r="D68" s="34"/>
      <c r="E68" s="34"/>
      <c r="F68" s="34"/>
      <c r="G68" s="51"/>
      <c r="H68" s="51"/>
      <c r="I68" s="51"/>
      <c r="J68" s="51"/>
      <c r="K68" s="51"/>
      <c r="L68" s="51"/>
      <c r="M68" s="51"/>
      <c r="N68" s="51"/>
      <c r="O68" s="52"/>
    </row>
    <row r="69" spans="1:15" x14ac:dyDescent="0.15">
      <c r="A69" s="43"/>
      <c r="B69" s="55"/>
      <c r="C69" s="34"/>
      <c r="D69" s="34"/>
      <c r="E69" s="34"/>
      <c r="F69" s="34"/>
      <c r="G69" s="51"/>
      <c r="H69" s="51"/>
      <c r="I69" s="51"/>
      <c r="J69" s="51"/>
      <c r="K69" s="51"/>
      <c r="L69" s="51"/>
      <c r="M69" s="51"/>
      <c r="N69" s="51"/>
      <c r="O69" s="52"/>
    </row>
    <row r="70" spans="1:15" x14ac:dyDescent="0.15">
      <c r="A70" s="43"/>
      <c r="B70" s="55"/>
      <c r="C70" s="34"/>
      <c r="D70" s="34"/>
      <c r="E70" s="34"/>
      <c r="F70" s="34"/>
      <c r="G70" s="51"/>
      <c r="H70" s="51"/>
      <c r="I70" s="51"/>
      <c r="J70" s="51"/>
      <c r="K70" s="51"/>
      <c r="L70" s="51"/>
      <c r="M70" s="51"/>
      <c r="N70" s="51"/>
      <c r="O70" s="52"/>
    </row>
    <row r="71" spans="1:15" x14ac:dyDescent="0.15">
      <c r="A71" s="43"/>
      <c r="B71" s="55"/>
      <c r="C71" s="34"/>
      <c r="D71" s="34"/>
      <c r="E71" s="34"/>
      <c r="F71" s="34"/>
      <c r="G71" s="51"/>
      <c r="H71" s="51"/>
      <c r="I71" s="51"/>
      <c r="J71" s="51"/>
      <c r="K71" s="51"/>
      <c r="L71" s="51"/>
      <c r="M71" s="51"/>
      <c r="N71" s="51"/>
      <c r="O71" s="52"/>
    </row>
    <row r="72" spans="1:15" x14ac:dyDescent="0.15">
      <c r="A72" s="43"/>
      <c r="B72" s="55"/>
      <c r="C72" s="34"/>
      <c r="D72" s="34"/>
      <c r="E72" s="34"/>
      <c r="F72" s="34"/>
      <c r="G72" s="51"/>
      <c r="H72" s="51"/>
      <c r="I72" s="51"/>
      <c r="J72" s="51"/>
      <c r="K72" s="51"/>
      <c r="L72" s="51"/>
      <c r="M72" s="51"/>
      <c r="N72" s="51"/>
      <c r="O72" s="52"/>
    </row>
    <row r="73" spans="1:15" x14ac:dyDescent="0.15">
      <c r="A73" s="43"/>
      <c r="B73" s="55"/>
      <c r="C73" s="34"/>
      <c r="D73" s="34"/>
      <c r="E73" s="34"/>
      <c r="F73" s="34"/>
      <c r="G73" s="51"/>
      <c r="H73" s="51"/>
      <c r="I73" s="51"/>
      <c r="J73" s="51"/>
      <c r="K73" s="51"/>
      <c r="L73" s="51"/>
      <c r="M73" s="51"/>
      <c r="N73" s="51"/>
      <c r="O73" s="52"/>
    </row>
    <row r="74" spans="1:15" x14ac:dyDescent="0.15">
      <c r="A74" s="43"/>
      <c r="B74" s="55"/>
      <c r="C74" s="34"/>
      <c r="D74" s="34"/>
      <c r="E74" s="34"/>
      <c r="F74" s="34"/>
      <c r="G74" s="51"/>
      <c r="H74" s="51"/>
      <c r="I74" s="51"/>
      <c r="J74" s="51"/>
      <c r="K74" s="51"/>
      <c r="L74" s="51"/>
      <c r="M74" s="51"/>
      <c r="N74" s="51"/>
      <c r="O74" s="52"/>
    </row>
    <row r="75" spans="1:15" x14ac:dyDescent="0.15">
      <c r="A75" s="43"/>
      <c r="B75" s="55"/>
      <c r="C75" s="34"/>
      <c r="D75" s="34"/>
      <c r="E75" s="34"/>
      <c r="F75" s="34"/>
      <c r="G75" s="51"/>
      <c r="H75" s="51"/>
      <c r="I75" s="51"/>
      <c r="J75" s="51"/>
      <c r="K75" s="51"/>
      <c r="L75" s="51"/>
      <c r="M75" s="51"/>
      <c r="N75" s="51"/>
      <c r="O75" s="52"/>
    </row>
    <row r="76" spans="1:15" x14ac:dyDescent="0.15">
      <c r="A76" s="43"/>
      <c r="B76" s="55"/>
      <c r="C76" s="34"/>
      <c r="D76" s="34"/>
      <c r="E76" s="34"/>
      <c r="F76" s="34"/>
      <c r="G76" s="51"/>
      <c r="H76" s="51"/>
      <c r="I76" s="51"/>
      <c r="J76" s="51"/>
      <c r="K76" s="51"/>
      <c r="L76" s="51"/>
      <c r="M76" s="51"/>
      <c r="N76" s="51"/>
      <c r="O76" s="52"/>
    </row>
    <row r="77" spans="1:15" x14ac:dyDescent="0.15">
      <c r="A77" s="43"/>
      <c r="B77" s="55"/>
      <c r="C77" s="34"/>
      <c r="D77" s="34"/>
      <c r="E77" s="34"/>
      <c r="F77" s="34"/>
      <c r="G77" s="51"/>
      <c r="H77" s="51"/>
      <c r="I77" s="51"/>
      <c r="J77" s="51"/>
      <c r="K77" s="51"/>
      <c r="L77" s="51"/>
      <c r="M77" s="51"/>
      <c r="N77" s="51"/>
      <c r="O77" s="52"/>
    </row>
    <row r="78" spans="1:15" x14ac:dyDescent="0.15">
      <c r="A78" s="43"/>
      <c r="B78" s="55"/>
      <c r="C78" s="34"/>
      <c r="D78" s="34"/>
      <c r="E78" s="34"/>
      <c r="F78" s="34"/>
      <c r="G78" s="51"/>
      <c r="H78" s="51"/>
      <c r="I78" s="51"/>
      <c r="J78" s="51"/>
      <c r="K78" s="51"/>
      <c r="L78" s="51"/>
      <c r="M78" s="51"/>
      <c r="N78" s="51"/>
      <c r="O78" s="52"/>
    </row>
    <row r="79" spans="1:15" x14ac:dyDescent="0.15">
      <c r="A79" s="43"/>
      <c r="B79" s="55"/>
      <c r="C79" s="34"/>
      <c r="D79" s="34"/>
      <c r="E79" s="34"/>
      <c r="F79" s="34"/>
      <c r="G79" s="51"/>
      <c r="H79" s="51"/>
      <c r="I79" s="51"/>
      <c r="J79" s="51"/>
      <c r="K79" s="51"/>
      <c r="L79" s="51"/>
      <c r="M79" s="51"/>
      <c r="N79" s="51"/>
      <c r="O79" s="52"/>
    </row>
    <row r="80" spans="1:15" x14ac:dyDescent="0.15">
      <c r="A80" s="43"/>
      <c r="B80" s="55"/>
      <c r="C80" s="34"/>
      <c r="D80" s="34"/>
      <c r="E80" s="34"/>
      <c r="F80" s="34"/>
      <c r="G80" s="51"/>
      <c r="H80" s="51"/>
      <c r="I80" s="51"/>
      <c r="J80" s="51"/>
      <c r="K80" s="51"/>
      <c r="L80" s="51"/>
      <c r="M80" s="51"/>
      <c r="N80" s="51"/>
      <c r="O80" s="52"/>
    </row>
    <row r="81" spans="1:15" x14ac:dyDescent="0.15">
      <c r="A81" s="43"/>
      <c r="B81" s="55"/>
      <c r="C81" s="34"/>
      <c r="D81" s="34"/>
      <c r="E81" s="34"/>
      <c r="F81" s="34"/>
      <c r="G81" s="51"/>
      <c r="H81" s="51"/>
      <c r="I81" s="51"/>
      <c r="J81" s="51"/>
      <c r="K81" s="51"/>
      <c r="L81" s="51"/>
      <c r="M81" s="51"/>
      <c r="N81" s="51"/>
      <c r="O81" s="52"/>
    </row>
    <row r="82" spans="1:15" x14ac:dyDescent="0.15">
      <c r="A82" s="43"/>
      <c r="B82" s="55"/>
      <c r="C82" s="34"/>
      <c r="D82" s="34"/>
      <c r="E82" s="34"/>
      <c r="F82" s="34"/>
      <c r="G82" s="51"/>
      <c r="H82" s="51"/>
      <c r="I82" s="51"/>
      <c r="J82" s="51"/>
      <c r="K82" s="51"/>
      <c r="L82" s="51"/>
      <c r="M82" s="51"/>
      <c r="N82" s="51"/>
      <c r="O82" s="52"/>
    </row>
    <row r="83" spans="1:15" x14ac:dyDescent="0.15">
      <c r="A83" s="43"/>
      <c r="B83" s="55"/>
      <c r="C83" s="34"/>
      <c r="D83" s="34"/>
      <c r="E83" s="34"/>
      <c r="F83" s="34"/>
      <c r="G83" s="51"/>
      <c r="H83" s="51"/>
      <c r="I83" s="51"/>
      <c r="J83" s="51"/>
      <c r="K83" s="51"/>
      <c r="L83" s="51"/>
      <c r="M83" s="51"/>
      <c r="N83" s="51"/>
      <c r="O83" s="52"/>
    </row>
    <row r="84" spans="1:15" x14ac:dyDescent="0.15">
      <c r="A84" s="43"/>
      <c r="B84" s="55"/>
      <c r="C84" s="34"/>
      <c r="D84" s="34"/>
      <c r="E84" s="34"/>
      <c r="F84" s="34"/>
      <c r="G84" s="51"/>
      <c r="H84" s="51"/>
      <c r="I84" s="51"/>
      <c r="J84" s="51"/>
      <c r="K84" s="51"/>
      <c r="L84" s="51"/>
      <c r="M84" s="51"/>
      <c r="N84" s="51"/>
      <c r="O84" s="52"/>
    </row>
    <row r="85" spans="1:15" x14ac:dyDescent="0.15">
      <c r="A85" s="43"/>
      <c r="B85" s="55"/>
      <c r="C85" s="34"/>
      <c r="D85" s="34"/>
      <c r="E85" s="34"/>
      <c r="F85" s="34"/>
      <c r="G85" s="51"/>
      <c r="H85" s="51"/>
      <c r="I85" s="51"/>
      <c r="J85" s="51"/>
      <c r="K85" s="51"/>
      <c r="L85" s="51"/>
      <c r="M85" s="51"/>
      <c r="N85" s="51"/>
      <c r="O85" s="52"/>
    </row>
    <row r="86" spans="1:15" x14ac:dyDescent="0.15">
      <c r="A86" s="43"/>
      <c r="B86" s="55"/>
      <c r="C86" s="34"/>
      <c r="D86" s="34"/>
      <c r="E86" s="34"/>
      <c r="F86" s="34"/>
      <c r="G86" s="51"/>
      <c r="H86" s="51"/>
      <c r="I86" s="51"/>
      <c r="J86" s="51"/>
      <c r="K86" s="51"/>
      <c r="L86" s="51"/>
      <c r="M86" s="51"/>
      <c r="N86" s="51"/>
      <c r="O86" s="52"/>
    </row>
    <row r="87" spans="1:15" x14ac:dyDescent="0.15">
      <c r="A87" s="43"/>
      <c r="B87" s="55"/>
      <c r="C87" s="34"/>
      <c r="D87" s="34"/>
      <c r="E87" s="34"/>
      <c r="F87" s="34"/>
      <c r="G87" s="51"/>
      <c r="H87" s="51"/>
      <c r="I87" s="51"/>
      <c r="J87" s="51"/>
      <c r="K87" s="51"/>
      <c r="L87" s="51"/>
      <c r="M87" s="51"/>
      <c r="N87" s="51"/>
      <c r="O87" s="52"/>
    </row>
    <row r="88" spans="1:15" x14ac:dyDescent="0.15">
      <c r="A88" s="43"/>
      <c r="B88" s="55"/>
      <c r="C88" s="34"/>
      <c r="D88" s="34"/>
      <c r="E88" s="34"/>
      <c r="F88" s="34"/>
      <c r="G88" s="51"/>
      <c r="H88" s="51"/>
      <c r="I88" s="51"/>
      <c r="J88" s="51"/>
      <c r="K88" s="51"/>
      <c r="L88" s="51"/>
      <c r="M88" s="51"/>
      <c r="N88" s="51"/>
      <c r="O88" s="52"/>
    </row>
    <row r="89" spans="1:15" x14ac:dyDescent="0.15">
      <c r="A89" s="43"/>
      <c r="B89" s="55"/>
      <c r="C89" s="34"/>
      <c r="D89" s="34"/>
      <c r="E89" s="34"/>
      <c r="F89" s="34"/>
      <c r="G89" s="51"/>
      <c r="H89" s="51"/>
      <c r="I89" s="51"/>
      <c r="J89" s="51"/>
      <c r="K89" s="51"/>
      <c r="L89" s="51"/>
      <c r="M89" s="51"/>
      <c r="N89" s="51"/>
      <c r="O89" s="52"/>
    </row>
    <row r="90" spans="1:15" x14ac:dyDescent="0.15">
      <c r="A90" s="43"/>
      <c r="B90" s="55"/>
      <c r="C90" s="34"/>
      <c r="D90" s="34"/>
      <c r="E90" s="34"/>
      <c r="F90" s="34"/>
      <c r="G90" s="51"/>
      <c r="H90" s="51"/>
      <c r="I90" s="51"/>
      <c r="J90" s="51"/>
      <c r="K90" s="51"/>
      <c r="L90" s="51"/>
      <c r="M90" s="51"/>
      <c r="N90" s="51"/>
      <c r="O90" s="52"/>
    </row>
    <row r="91" spans="1:15" x14ac:dyDescent="0.15">
      <c r="A91" s="43"/>
      <c r="B91" s="55"/>
      <c r="C91" s="34"/>
      <c r="D91" s="34"/>
      <c r="E91" s="34"/>
      <c r="F91" s="34"/>
      <c r="G91" s="51"/>
      <c r="H91" s="51"/>
      <c r="I91" s="51"/>
      <c r="J91" s="51"/>
      <c r="K91" s="51"/>
      <c r="L91" s="51"/>
      <c r="M91" s="51"/>
      <c r="N91" s="51"/>
      <c r="O91" s="52"/>
    </row>
    <row r="92" spans="1:15" x14ac:dyDescent="0.15">
      <c r="A92" s="43"/>
      <c r="B92" s="55"/>
      <c r="C92" s="34"/>
      <c r="D92" s="34"/>
      <c r="E92" s="34"/>
      <c r="F92" s="34"/>
      <c r="G92" s="51"/>
      <c r="H92" s="51"/>
      <c r="I92" s="51"/>
      <c r="J92" s="51"/>
      <c r="K92" s="51"/>
      <c r="L92" s="51"/>
      <c r="M92" s="51"/>
      <c r="N92" s="51"/>
      <c r="O92" s="52"/>
    </row>
    <row r="93" spans="1:15" x14ac:dyDescent="0.15">
      <c r="A93" s="43"/>
      <c r="B93" s="55"/>
      <c r="C93" s="34"/>
      <c r="D93" s="34"/>
      <c r="E93" s="34"/>
      <c r="F93" s="34"/>
      <c r="G93" s="51"/>
      <c r="H93" s="51"/>
      <c r="I93" s="51"/>
      <c r="J93" s="51"/>
      <c r="K93" s="51"/>
      <c r="L93" s="51"/>
      <c r="M93" s="51"/>
      <c r="N93" s="51"/>
      <c r="O93" s="52"/>
    </row>
    <row r="94" spans="1:15" x14ac:dyDescent="0.15">
      <c r="A94" s="43"/>
      <c r="B94" s="55"/>
      <c r="C94" s="34"/>
      <c r="D94" s="34"/>
      <c r="E94" s="34"/>
      <c r="F94" s="34"/>
      <c r="G94" s="51"/>
      <c r="H94" s="51"/>
      <c r="I94" s="51"/>
      <c r="J94" s="51"/>
      <c r="K94" s="51"/>
      <c r="L94" s="51"/>
      <c r="M94" s="51"/>
      <c r="N94" s="51"/>
      <c r="O94" s="52"/>
    </row>
    <row r="95" spans="1:15" x14ac:dyDescent="0.15">
      <c r="A95" s="43"/>
      <c r="B95" s="55"/>
      <c r="C95" s="34"/>
      <c r="D95" s="34"/>
      <c r="E95" s="34"/>
      <c r="F95" s="34"/>
      <c r="G95" s="51"/>
      <c r="H95" s="51"/>
      <c r="I95" s="51"/>
      <c r="J95" s="51"/>
      <c r="K95" s="51"/>
      <c r="L95" s="51"/>
      <c r="M95" s="51"/>
      <c r="N95" s="51"/>
      <c r="O95" s="52"/>
    </row>
    <row r="96" spans="1:15" x14ac:dyDescent="0.15">
      <c r="A96" s="43"/>
      <c r="B96" s="55"/>
      <c r="C96" s="34"/>
      <c r="D96" s="34"/>
      <c r="E96" s="34"/>
      <c r="F96" s="34"/>
      <c r="G96" s="51"/>
      <c r="H96" s="51"/>
      <c r="I96" s="51"/>
      <c r="J96" s="51"/>
      <c r="K96" s="51"/>
      <c r="L96" s="51"/>
      <c r="M96" s="51"/>
      <c r="N96" s="51"/>
      <c r="O96" s="52"/>
    </row>
    <row r="97" spans="1:15" x14ac:dyDescent="0.15">
      <c r="A97" s="43"/>
      <c r="B97" s="55"/>
      <c r="C97" s="34"/>
      <c r="D97" s="34"/>
      <c r="E97" s="34"/>
      <c r="F97" s="34"/>
      <c r="G97" s="51"/>
      <c r="H97" s="51"/>
      <c r="I97" s="51"/>
      <c r="J97" s="51"/>
      <c r="K97" s="51"/>
      <c r="L97" s="51"/>
      <c r="M97" s="51"/>
      <c r="N97" s="51"/>
      <c r="O97" s="52"/>
    </row>
    <row r="98" spans="1:15" x14ac:dyDescent="0.15">
      <c r="A98" s="43"/>
      <c r="B98" s="55"/>
      <c r="C98" s="34"/>
      <c r="D98" s="34"/>
      <c r="E98" s="34"/>
      <c r="F98" s="34"/>
      <c r="G98" s="51"/>
      <c r="H98" s="51"/>
      <c r="I98" s="51"/>
      <c r="J98" s="51"/>
      <c r="K98" s="51"/>
      <c r="L98" s="51"/>
      <c r="M98" s="51"/>
      <c r="N98" s="51"/>
      <c r="O98" s="52"/>
    </row>
    <row r="99" spans="1:15" x14ac:dyDescent="0.15">
      <c r="A99" s="43"/>
      <c r="B99" s="55"/>
      <c r="C99" s="34"/>
      <c r="D99" s="34"/>
      <c r="E99" s="34"/>
      <c r="F99" s="34"/>
      <c r="G99" s="51"/>
      <c r="H99" s="51"/>
      <c r="I99" s="51"/>
      <c r="J99" s="51"/>
      <c r="K99" s="51"/>
      <c r="L99" s="51"/>
      <c r="M99" s="51"/>
      <c r="N99" s="51"/>
      <c r="O99" s="52"/>
    </row>
    <row r="100" spans="1:15" x14ac:dyDescent="0.15">
      <c r="A100" s="56"/>
      <c r="B100" s="57"/>
      <c r="C100" s="34"/>
      <c r="D100" s="34"/>
      <c r="E100" s="34"/>
      <c r="F100" s="34"/>
      <c r="G100" s="51"/>
      <c r="H100" s="51"/>
      <c r="I100" s="51"/>
      <c r="J100" s="51"/>
      <c r="K100" s="51"/>
      <c r="L100" s="51"/>
      <c r="M100" s="51"/>
      <c r="N100" s="51"/>
      <c r="O100" s="52"/>
    </row>
  </sheetData>
  <phoneticPr fontId="13"/>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8</vt:i4>
      </vt:variant>
    </vt:vector>
  </HeadingPairs>
  <TitlesOfParts>
    <vt:vector size="8" baseType="lpstr">
      <vt:lpstr>ii-excel-diff</vt:lpstr>
      <vt:lpstr>ii-path-maker</vt:lpstr>
      <vt:lpstr>ごみ settings</vt:lpstr>
      <vt:lpstr>&gt;&gt;&gt; ORG SHEET &gt;&gt;&gt;</vt:lpstr>
      <vt:lpstr>L_ii-path-maker</vt:lpstr>
      <vt:lpstr>R_ii-path-maker</vt:lpstr>
      <vt:lpstr>L_ごみ settings</vt:lpstr>
      <vt:lpstr>R_ごみ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2026-03-14T07:45:47Z</dcterms:created>
  <dcterms:modified xsi:type="dcterms:W3CDTF">2026-03-14T07:48:54Z</dcterms:modified>
</cp:coreProperties>
</file>